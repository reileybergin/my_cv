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58a5b847fbffacb7/Desktop/CV/CV Resources/"/>
    </mc:Choice>
  </mc:AlternateContent>
  <xr:revisionPtr revIDLastSave="0" documentId="8_{117B9E3B-28FE-4E9E-9F97-EEF35AD50B98}" xr6:coauthVersionLast="47" xr6:coauthVersionMax="47" xr10:uidLastSave="{00000000-0000-0000-0000-000000000000}"/>
  <bookViews>
    <workbookView minimized="1" xWindow="11040" yWindow="90" windowWidth="11490" windowHeight="6000" xr2:uid="{00000000-000D-0000-FFFF-FFFF00000000}"/>
  </bookViews>
  <sheets>
    <sheet name="pubs" sheetId="1" r:id="rId1"/>
    <sheet name="presentations" sheetId="2" r:id="rId2"/>
    <sheet name="media" sheetId="3" r:id="rId3"/>
    <sheet name="grants" sheetId="4" r:id="rId4"/>
    <sheet name="grant_totals" sheetId="5" r:id="rId5"/>
    <sheet name="awards" sheetId="6" r:id="rId6"/>
    <sheet name="classes" sheetId="7" r:id="rId7"/>
    <sheet name="teaching" sheetId="8" r:id="rId8"/>
    <sheet name="advising" sheetId="9" r:id="rId9"/>
    <sheet name="service" sheetId="10" r:id="rId10"/>
    <sheet name="review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B3" i="5"/>
  <c r="D3" i="5" s="1"/>
  <c r="C2" i="5"/>
  <c r="C4" i="5" s="1"/>
  <c r="B2" i="5"/>
  <c r="B4" i="5" s="1"/>
  <c r="F13" i="4"/>
  <c r="D2" i="5" l="1"/>
  <c r="D4" i="5" l="1"/>
  <c r="E2" i="5"/>
  <c r="F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Reiley Bergin</author>
  </authors>
  <commentList>
    <comment ref="B1" authorId="0" shapeId="0" xr:uid="{6DE981DD-A47A-42E2-A7F1-B458907ECC3E}">
      <text>
        <r>
          <rPr>
            <sz val="9"/>
            <color indexed="81"/>
            <rFont val="Tahoma"/>
            <charset val="1"/>
          </rPr>
          <t>for his website</t>
        </r>
      </text>
    </comment>
  </commentList>
</comments>
</file>

<file path=xl/sharedStrings.xml><?xml version="1.0" encoding="utf-8"?>
<sst xmlns="http://schemas.openxmlformats.org/spreadsheetml/2006/main" count="1845" uniqueCount="1099">
  <si>
    <t>category</t>
  </si>
  <si>
    <t>summary</t>
  </si>
  <si>
    <t>image</t>
  </si>
  <si>
    <t>pub_date</t>
  </si>
  <si>
    <t>id_scholar</t>
  </si>
  <si>
    <t>year</t>
  </si>
  <si>
    <t>author</t>
  </si>
  <si>
    <t>title</t>
  </si>
  <si>
    <t>journal</t>
  </si>
  <si>
    <t>number</t>
  </si>
  <si>
    <t>doi</t>
  </si>
  <si>
    <t>url_pub</t>
  </si>
  <si>
    <t>url_repo</t>
  </si>
  <si>
    <t>url_pdf</t>
  </si>
  <si>
    <t>url_rg</t>
  </si>
  <si>
    <t>url_other</t>
  </si>
  <si>
    <t>other_label</t>
  </si>
  <si>
    <t>haiku1</t>
  </si>
  <si>
    <t>haiku2</t>
  </si>
  <si>
    <t>haiku3</t>
  </si>
  <si>
    <t>abstract</t>
  </si>
  <si>
    <t>bibtex</t>
  </si>
  <si>
    <t>peer_reviewed</t>
  </si>
  <si>
    <t>-f6ydRqryjwC</t>
  </si>
  <si>
    <t>\*Roberson, Laura A., \*Pantha, S., &amp; **Helveston, J.P.**</t>
  </si>
  <si>
    <t>Battery-Powered Bargains? Assessing Electric Vehicle Resale Value in the United States</t>
  </si>
  <si>
    <t xml:space="preserve">Environmental Research Letters </t>
  </si>
  <si>
    <t>10.1088/1748-9326/ad3fce</t>
  </si>
  <si>
    <t>https://iopscience.iop.org/article/10.1088/1748-9326/ad3fce</t>
  </si>
  <si>
    <t>https://zenodo.org/doi/10.5281/zenodo.11041585</t>
  </si>
  <si>
    <t>https://iopscience.iop.org/article/10.1088/1748-9326/ad3fce/pdf</t>
  </si>
  <si>
    <t>https://www.researchgate.net/publication/379919327_Battery-powered_bargains_Assessing_electric_vehicle_resale_value_in_the_United_States</t>
  </si>
  <si>
    <t>EVs lose value</t>
  </si>
  <si>
    <t>fast, but newer, longer-range</t>
  </si>
  <si>
    <t>ones do much better</t>
  </si>
  <si>
    <t>The resale market will play a critical role in expanding plug-in electric vehicle (PEV) adoption to middle- and lower-income households. Understanding PEV depreciation trends in comparison to those of conventional gasoline vehicles (CVs) is critical for assessing PEV affordability and informing relevant policy, such as subsidies for used PEVs. We deliver comprehensive, high-resolution estimates of value retention rates at the make-model level in the United States for battery electric vehicles (BEVs), plug-in hybrid electric vehicles (PHEVs), hybrid electric vehicles (HEVs), and CVs using a database of 9 million used cars listed online between 2016 and 2022. While BEVs and PHEVs have depreciated at faster rates than CVs, this trend is changing, with newer model year BEVs and those with larger ranges have significantly higher retention rates than older model years with smaller ranges. Tesla BEVs are a notable exception following the opposite trend, with earlier model years holding their value better than newer model years. Subsidized BEVs in the new market are associated with lower prices for the same model in the resale market, with the $7,500 federal subsidy translating to a 3% lower resale price on average. Finally, disruptions from the COVID-19 pandemic have affected affordability across all vehicles, with mean listing prices rising 37% and 39% for CVs and BEVs, respectively, from January 2020 to March 2022 in inflation-adjusted 2019 dollars.</t>
  </si>
  <si>
    <t>@article{roberson2024,
	author={Roberson, Laura A. and Pantha, Saurav and Helveston, John Paul},
	title={Battery-powered bargains? Assessing electric vehicle resale value in the United States},
	journal={Environmental Research Letters},
	url={http://iopscience.iop.org/article/10.1088/1748-9326/ad3fce},
	year={2024}
}</t>
  </si>
  <si>
    <t>ZeXyd9-uunAC</t>
  </si>
  <si>
    <t>\*Kaplan, Leah R. &amp; **Helveston, John P.**</t>
  </si>
  <si>
    <t>Undercutting Transit? Exploring potential competition between autonomous vehicles and public transportation in the U.S.</t>
  </si>
  <si>
    <t>Transportation Research Record</t>
  </si>
  <si>
    <t>10.1177/03611981231208976</t>
  </si>
  <si>
    <t>https://journals.sagepub.com/doi/10.1177/03611981231208976</t>
  </si>
  <si>
    <t>https://github.com/lkaplan25/AV_conjoint_survey_2022</t>
  </si>
  <si>
    <t>https://filedn.com/lYURdAnVcCykBHec07i0c6j/papers/2023-Kaplan-Helveston-TRR.pdf</t>
  </si>
  <si>
    <t>https://www.researchgate.net/publication/375988686_Undercutting_Transit_Exploring_Potential_Competition_Between_Automated_Vehicles_and_Public_Transportation_in_the_United_States</t>
  </si>
  <si>
    <t>Robo-taxis won't</t>
  </si>
  <si>
    <t>(at the moment) take over</t>
  </si>
  <si>
    <t>transit ridership</t>
  </si>
  <si>
    <t>Automated vehicles (AVs) have the potential to dramatically disrupt current transportation patterns and practices. One particular area of concern is AVs' impacts on public transit systems. If vehicle automation enables significant price decreases or performance improvements for ride-hailing services, some fear that it could undercut public transit, which could have significant implications for the environment and transportation equity. The extent to which individuals adopt automated transportation modes will drive many system-level outcomes, and research on public preferences for AVs is immature and inconclusive. In this study, we used responses from an online choice-based conjoint survey fielded in the Washington, D.C. metropolitan region (N = 1,694) in October 2021 to estimate discrete choice models of public preferences for different automated (ride-hailing, shared ride-hailing, bus) and nonautomated (ride-hailing, shared ride-hailing, bus, rail) modes. We used the estimated models to simulate future marketplace competition across a range of trip scenarios. Respondents on average were only willing to pay a premium for automated modes when a vehicle attendant was also present, limiting the potential cost-savings that AV operators might achieve by removing the driver. Scenario analysis additionally revealed that for trips where good transit options were available, transit remained competitive with automated ride-hailing modes. These results suggest that fears of a mass transition away from transit to AVs may be limited by people's willingness to use AVs, at least in the short term. Future AV operators should also recognize the presence of an AV attendant as a critical feature for early AV adoption.</t>
  </si>
  <si>
    <t>@article{kaplan2023,
author = {Leah Kaplan and John Paul Helveston},
title ={Undercutting Transit? Exploring Potential Competition Between Automated Vehicles and Public Transportation in the United States},
journal = {Transportation Research Record},
volume = {0},
number = {0},
year = {2023},
doi = {10.1177/03611981231208976},
URL = {https://doi.org/10.1177/03611981231208976},
}</t>
  </si>
  <si>
    <t>L8Ckcad2t8MC</t>
  </si>
  <si>
    <t>\*Zhao, L., \*\*Ottinger, E., Yip, A., &amp; **Helveston, J.P.**</t>
  </si>
  <si>
    <t>Quantifying electric vehicle mileage in the United States</t>
  </si>
  <si>
    <t>Joule</t>
  </si>
  <si>
    <t>7, 1–15</t>
  </si>
  <si>
    <t>10.1016/j.joule.2023.09.015</t>
  </si>
  <si>
    <t>https://www.sciencedirect.com/science/article/abs/pii/S254243512300404X</t>
  </si>
  <si>
    <t>https://doi.org/10.5281/zenodo.8371109</t>
  </si>
  <si>
    <t>https://filedn.com/lYURdAnVcCykBHec07i0c6j/papers/2023-Zhao-Joule.pdf</t>
  </si>
  <si>
    <t>EVs are driven</t>
  </si>
  <si>
    <t>less than gas cars, but higher</t>
  </si>
  <si>
    <t>range closes the gap</t>
  </si>
  <si>
    <t>We deliver comprehensive, high-resolution estimates of annual vehicle miles traveled (VMT) in the United States for battery electric vehicles (BEVs), plug-in hybrid electric vehicles (PHEVs), hybrid electric vehicles (HEVs), and conventional gasoline vehicles (CVs) using odometer readings from 12.5 million used cars and 11.4 million used sport utility vehicles (SUVs) listed between 2016 and 2022. Although CVs, HEVs, and PHEVs are driven similarly, BEV cars average 4,477 fewer miles annually. Teslas are driven more than other BEVs, yet still less than CVs. Similar differences in VMT across powertrains exist for SUVs, though SUVs are driven more than cars in all powertrains. Driving range has a non-linear relationship with VMT for BEV cars: every 10 additional miles of range equates to 631 additional annual miles for low-range BEVs (&lt;100 miles of range) but only 85 annual miles for high-range BEVs (&gt;200 miles of range). BEV cars also show less sensitivity in annual VMT to operating cost changes compared with CVs. Results provide an important context for modelers anticipating increased electricity consumption from PEV adoption.</t>
  </si>
  <si>
    <t>@article{zhao2023joule,
title = {Quantifying electric vehicle mileage in the United States},
journal = {Joule},
year = {2023},
issn = {2542-4351},
doi = {https://doi.org/10.1016/j.joule.2023.09.015},
url = {https://www.sciencedirect.com/science/article/pii/S254243512300404X},
author = {Lujin Zhao and Elizabeth R. Ottinger and Arthur Hong Chun Yip and John Paul Helveston},
keywords = {electric vehicles, mileage, behavior, vehicle miles traveled, VMT, electric vehicle miles traveled, eVMT, odometer, vehicle listings, listings data, national PEV data}
}</t>
  </si>
  <si>
    <t>4DMP91E08xMC</t>
  </si>
  <si>
    <t>\*Zhao, L., Szajnfarber, Z., Broniatowski, D.A., &amp; **Helveston, J.P.**</t>
  </si>
  <si>
    <t>Using conjoint analysis to incorporate heterogeneous preferences into multimodal transit trip simulations</t>
  </si>
  <si>
    <t>Systems Engineering</t>
  </si>
  <si>
    <t>10.1002/sys.21670</t>
  </si>
  <si>
    <t>https://incose.onlinelibrary.wiley.com/doi/10.1002/sys.21670</t>
  </si>
  <si>
    <t>https://filedn.com/lYURdAnVcCykBHec07i0c6j/papers/2023-Zhao-Systems-Engineering.pdf</t>
  </si>
  <si>
    <t>https://www.researchgate.net/publication/369016222_Using_conjoint_analysis_to_incorporate_heterogeneous_preferences_into_multimodal_transit_trip_simulations</t>
  </si>
  <si>
    <t>DC commuters</t>
  </si>
  <si>
    <t>want fewer bus transfers and</t>
  </si>
  <si>
    <t>more metro access</t>
  </si>
  <si>
    <t>Urban transportation systems involve thousands of individuals making choices between routes with multiple modes and transfers. For transportation system simulations to produce realistic results, modelers need to incorporate these users and their choices. Choice-based conjoint surveys provide an attractive solution for obtaining flexible utility models that can be used to predict choices for a wide variety of trips. In this study, we demonstrate an example using conjoint survey data of commuter mode choice in the Washington, D.C. metro area (N = 1,651). We sample commuters who primarily drive and those that take transit. We examine preferences for different types of multi-modal trips, including those with intramodal and intermodel transfers. We find that trips involving a bus transfer are the least preferred while both drivers and transit users both value metro similarly to driving. We also find that walking during transit trips is an important barrier, with the travel time penalty for walking being 60\% higher than that of time in a vehicle. Our findings highlight the significance of accounting for differences in modal transfer types in transportation system simulations. Reducing arrival time uncertainty was not a significant factor in commuter mode choice, and commuters' value of time was similar across all vehicle types, suggesting that increasing the relative speed of transit modes may only have a marginal effect on commuter substitution away from personal vehicles.</t>
  </si>
  <si>
    <t>@article{zhao2023using,
  title={Using conjoint analysis to incorporate heterogeneous preferences into multimodal transit trip simulations},
  author={Zhao, Lujin and Szajnfarber, Zoe and Broniatowski, David and Helveston, John Paul},
  journal={Systems Engineering},
  year={2023},
  publisher={Wiley Online Library}
}</t>
  </si>
  <si>
    <t>4TOpqqG69KYC</t>
  </si>
  <si>
    <t>**Helveston, John P.**</t>
  </si>
  <si>
    <t>`logitr`: Fast Estimation of Multinomial and Mixed Logit Models with Preference Space and Willingness to Pay Space Utility Parameterizations</t>
  </si>
  <si>
    <t>Journal of Statistical Software</t>
  </si>
  <si>
    <t>*105*(10), 1-37</t>
  </si>
  <si>
    <t>10.18637/jss.v105.i10</t>
  </si>
  <si>
    <t>https://www.jstatsoft.org/index.php/jss/article/view/v105i10</t>
  </si>
  <si>
    <t>https://github.com/jhelvy/logitr</t>
  </si>
  <si>
    <t>https://www.jstatsoft.org/index.php/jss/article/view/v105i10/4440</t>
  </si>
  <si>
    <t>https://www.researchgate.net/publication/364514656_logitr_Fast_Estimation_of_Multinomial_and_Mixed_Logit_Models_with_Preference_Space_and_Willingness_to_Pay_Space_Utility_Parameterizations</t>
  </si>
  <si>
    <t>Fast estimation</t>
  </si>
  <si>
    <t>of mixed logit models and</t>
  </si>
  <si>
    <t>WTP in R</t>
  </si>
  <si>
    <t>This paper introduces the logitr R package for fast maximum likelihood estimation of multinomial logit and mixed logit models with unobserved heterogeneity across individuals, which is modeled by allowing parameters to vary randomly over individuals according to a chosen distribution. The package is faster than other similar packages such as mlogit, gmnl, mixl, and apollo, and it supports utility models specified with "preference space" or "willingness to pay (WTP) space" parameterizations, allowing for the direct estimation of marginal WTP. The typical procedure of computing WTP post-estimation using a preference space model can lead to unreasonable distributions of WTP across the population in mixed logit models. The paper provides a discussion of some of the implications of each utility parameterization for WTP estimates. It also highlights some of the design features that enable logitr's performant estimation speed and includes a benchmarking exercise with similar packages. Finally, the paper highlights additional features that are designed specifically for WTP space models, including a consistent user interface for specifying models in either space and a parallelized multi-start optimization loop, which is particularly useful for searching the solution space for different local minima when estimating models with non-convex log-likelihood functions.</t>
  </si>
  <si>
    <t>@article{helveston2022jss,
    author = {John Paul Helveston},
    title = {logitr: Fast Estimation of Multinomial and Mixed Logit Models with Preference Space and Willingness to Pay Space Utility Parameterizations},
    journal={Journal of Statistical Software},
    url = {https://jhelvy.github.io/logitr/},
    year = {2023},
    volume = {105},
    number = {10},
    pages = {1--37},
    doi = {10.18637/jss.v105.i10}
}</t>
  </si>
  <si>
    <t>M3ejUd6NZC8C</t>
  </si>
  <si>
    <t>**Helveston, J.P.**, He, G., &amp; Davidson, M.R.</t>
  </si>
  <si>
    <t>Quantifying the cost savings of global solar photovoltaic supply chains</t>
  </si>
  <si>
    <t>Nature</t>
  </si>
  <si>
    <t>612 (7938), pg. 83-87</t>
  </si>
  <si>
    <t>10.1038/s41586-022-05316-6</t>
  </si>
  <si>
    <t>https://www.nature.com/articles/s41586-022-05316-6</t>
  </si>
  <si>
    <t>https://github.com/jhelvy/solar-learning-2021</t>
  </si>
  <si>
    <t>https://filedn.com/lYURdAnVcCykBHec07i0c6j/papers/2022-Helveston-He-Davidson-Nature-Solar-Learning.pdf</t>
  </si>
  <si>
    <t>https://www.researchgate.net/publication/364757014_Quantifying_the_cost_savings_of_global_solar_photovoltaic_supply_chains</t>
  </si>
  <si>
    <t>https://mp.weixin.qq.com/s/CuyHGblyLcMfMo13VBXaFA</t>
  </si>
  <si>
    <t>中文</t>
  </si>
  <si>
    <t>Global supply chains</t>
  </si>
  <si>
    <t xml:space="preserve">are important for reaching </t>
  </si>
  <si>
    <t>lower green tech costs</t>
  </si>
  <si>
    <t>Achieving carbon neutrality requires deploying renewable energy at unprecedented speed and scale, yet countries sometimes implement policies that increase costs by restricting the free flow of capital, talent and innovation in favour of localizing benefits such as economic growth, employment and trade surpluses.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 and these results point to the need for complementary policies to mitigate welfare distribution effects and potential impacts on technological crowding out.</t>
  </si>
  <si>
    <t>@article{helveston2022nature,
    author={Helveston, John Paul and He, Gang and Davidson, Michael R.},
    title={Quantifying the cost savings of global solar photovoltaic supply chains},
    journal={Nature},
    pages={1--5},
    year={2022},
    publisher={Nature Publishing Group UK London},
    doi = {10.1038/s41586-022-05316-6}
}</t>
  </si>
  <si>
    <t>_kc_bZDykSQC</t>
  </si>
  <si>
    <t>\*Roberson, Laura A. &amp; **Helveston, John P.**</t>
  </si>
  <si>
    <t>Not all subsidies are equal: Measuring preferences for electric vehicle financial incentives</t>
  </si>
  <si>
    <t>17(084003)</t>
  </si>
  <si>
    <t>10.1088/1748-9326/ac7df3</t>
  </si>
  <si>
    <t>https://iopscience.iop.org/article/10.1088/1748-9326/ac7df3</t>
  </si>
  <si>
    <t>https://zenodo.org/record/6807674</t>
  </si>
  <si>
    <t>https://iopscience.iop.org/article/10.1088/1748-9326/ac7df3/pdf</t>
  </si>
  <si>
    <t>EV subsidies</t>
  </si>
  <si>
    <t>should be instant cash rebates</t>
  </si>
  <si>
    <t>and not tax credits</t>
  </si>
  <si>
    <t>Financial incentives, such as purchase subsidies, have been found to increase plug-in electric vehicle (PEV) adoption, but how these incentives are designed can impact their effectiveness as well as how equitably they are distributed. Using a national conjoint survey (N = 2,170 respondents), we quantify how U.S. vehicle buyers value different features of PEV financial incentives. Participants overwhelmingly prefer immediate rebates, on average valuing them by $580, $1,450, and $2,630 more than sales tax exemptions, tax credits, or tax deductions, respectively. These effects are significantly larger for lower-income households, used vehicle buyers, and buyers with lower budgets. We estimate that on average $2 billion could have been saved if the federal subsidy available between 2011 and 2019 were delivered as an immediate rebate instead of a tax credit, or $1,440 per PEV sold. Our results suggest that structuring incentives as immediate rebates would deliver a greater value to customers and would be more equitably distributed compared to the current tax credit scheme.</t>
  </si>
  <si>
    <t>@article{roberson2022erl,
    author={Roberson, Laura A. and Helveston, John Paul},
    title={Not all subsidies are equal: Measuring preferences for electric vehicle financial incentives},
    journal={Environmental Research Letters},
    year={2022}, 
    volume={17},
    number={8},
    pages={084003},
    doi = {10.1088/1748-9326/ac7df3}
}</t>
  </si>
  <si>
    <t>ULOm3_A8WrAC</t>
  </si>
  <si>
    <t>Szajnfarber, Z., \*\*Groover, J.A., Wei, Z., Broniatowski, D.A., Chernicoff, W., &amp; **Helveston, J.P.**</t>
  </si>
  <si>
    <t>Evolvability Analysis Framework: Adding Transition Path and Stakeholder Diversity to Infrastructure Investment Decisions</t>
  </si>
  <si>
    <t>25(1):35-50</t>
  </si>
  <si>
    <t>10.1002/sys.21600</t>
  </si>
  <si>
    <t>https://onlinelibrary.wiley.com/doi/10.1002/sys.21600?af=R</t>
  </si>
  <si>
    <t>https://filedn.com/lYURdAnVcCykBHec07i0c6j/papers/2021-Szajnfarber-Systems-Engineering.pdf</t>
  </si>
  <si>
    <t>Transition pathways</t>
  </si>
  <si>
    <t>are important for upgrades</t>
  </si>
  <si>
    <t>to infrastructure</t>
  </si>
  <si>
    <t>This paper presents the Evolvability Analysis Framework (EAF), a new perspective on evaluating complex infrastructure systems. EAF enables decision makers to explore alternative transition paths, thus providing several multi-step options to achieve a desired end state. These multi-step transition paths can be particularly valuable when they mitigate the impact of system degradation during the deployment of new capabilities. Additionally, EAF is formulated in a manner that empowers decision makers to apply decision variables, such as a cost cap or an equity metric, which are increasingly relevant to modern decision-making. To demonstrate the method and its value, we apply the EAF to a case study inspired by Los Angeles’ Vision 2028. We identify 26 transition paths across different performance dimensions. We model the cost and performance of each transition pathway and compare them using multiple measures, including traditional benefit-cost metrics and differential impacts on different stakeholder groups. Our results show that multi-step paths outperform single-step transitions to an end state (“big bang” approaches) in most scenarios. Multi-step paths also provide valuable alternatives when particular stakeholders value non-cost metrics.</t>
  </si>
  <si>
    <t>@article{szajnfarber2021evolvability,
  title={Evolvability analysis framework: Adding transition path and stakeholder diversity to infrastructure planning},
  author={Szajnfarber, Zoe and Groover, Joshua A and Wei, Zhenglin and Broniatowski, David A and Chernicoff, William and Helveston, John P},
  journal={Systems Engineering},
  year={2021},
  publisher={Wiley Online Library}
}</t>
  </si>
  <si>
    <t>3fE2CSJIrl8C</t>
  </si>
  <si>
    <t>Feinberg, F., Bruch, E., Braun, M., Hemenway Falk, B., Fefferman, N., Feit, E.M., **Helveston, J.P.**, Larremore, D., McShane, B.B., Patania, A., &amp; Small, M.L.</t>
  </si>
  <si>
    <t>Choices in networks: a research framework</t>
  </si>
  <si>
    <t>Marketing Letters</t>
  </si>
  <si>
    <t>31(4), 349-359</t>
  </si>
  <si>
    <t>10.1007/s11002-020-09541-9</t>
  </si>
  <si>
    <t>https://link.springer.com/article/10.1007%2Fs11002-020-09541-9</t>
  </si>
  <si>
    <t>https://filedn.com/lYURdAnVcCykBHec07i0c6j/papers/2020-Feinberg-Marketing-Letters.pdf</t>
  </si>
  <si>
    <t>We live in networks;</t>
  </si>
  <si>
    <t>choice modelers should include</t>
  </si>
  <si>
    <t>them in their models</t>
  </si>
  <si>
    <t>Networks are ubiquitous in life, structuring options available for choice and influencing their relative attractiveness. In this article, we propose an integration of network science and choice theory beyond merely incorporating metrics from one area into models of the other. We posit a typology and framework for “network-choice models” that highlight the distinct ways choices occur in and influence networked environments, as well as two specific feedback processes that guide their mutual interaction, emergent valuation and contingent options. In so doing, we discuss examples, data sources, methodological challenges, anticipated benefits, and research pathways to fully interweave network and choice models.</t>
  </si>
  <si>
    <t>@article{feinberg2020choices,
  title={Choices in networks: a research framework},
  author={Feinberg, Fred and Bruch, Elizabeth and Braun, Michael and Falk, Brett Hemenway and Fefferman, Nina and Feit, Elea McDonnell and Helveston, John and Larremore, Daniel and McShane, Blakeley B and Patania, Alice and others},
  journal={Marketing Letters},
  volume={31},
  number={4},
  pages={349--359},
  year={2020},
  publisher={Springer}
}</t>
  </si>
  <si>
    <t>8k81kl-MbHgC</t>
  </si>
  <si>
    <t>Electric vehicle adoption: can short experiences lead to big change?</t>
  </si>
  <si>
    <t>15(0940c3)</t>
  </si>
  <si>
    <t>10.1088/1748-9326/aba715</t>
  </si>
  <si>
    <t>https://iopscience.iop.org/article/10.1088/1748-9326/aba715/meta</t>
  </si>
  <si>
    <t>https://zenodo.org/record/3962516</t>
  </si>
  <si>
    <t>https://iopscience.iop.org/article/10.1088/1748-9326/aba715/pdf</t>
  </si>
  <si>
    <t>A five minute ride</t>
  </si>
  <si>
    <t>in an EV can increase</t>
  </si>
  <si>
    <t>the chance you'll buy one</t>
  </si>
  <si>
    <t>Plug-in electric vehicles (PEVs) offer a promising pathway to decarbonizing the personal transportation sector, but PEV sales remains low. Prior research has found that direct experience with PEVs increases consumers' stated purchase consideration, but these studies have used relatively long exposure times (days to months) with a PEV. To assess the effect of shorter exposure times (e.g. minutes) on stated purchase consideration, we conducted an experiment at the 2019 Washington D.C. Auto Show. Participants (n = 6518) were asked to rate their level of consideration to adopt a PEV before and after riding in one of four different PEVs for just 3–5 min. We find that the experience of riding in a PEV on average had a significant, positive effect on participants' consideration ratings. We also find that the vast majority of respondents were unable to correctly answer basic knowledge questions about refueling a PEV and federal subsidies available for purchasing a PEV. These results suggest that while consumer knowledge about PEVs remains low, short rides or drives in a PEV could be an effective, more scalable strategy for increasing PEV consideration across larger populations.</t>
  </si>
  <si>
    <t>@article{roberson2020electric,
  title={Electric vehicle adoption: can short experiences lead to big change?},
  author={Roberson, Laura A and Helveston, John P},
  journal={Environmental Research Letters},
  volume={15},
  number={9},
  pages={0940c3},
  year={2020},
  publisher={IOP Publishing}
}</t>
  </si>
  <si>
    <t>hqOjcs7Dif8C</t>
  </si>
  <si>
    <t>**Helveston, John P.** &amp; Nahm, Jonas</t>
  </si>
  <si>
    <t>China's key role in scaling low-carbon energy technologies</t>
  </si>
  <si>
    <t xml:space="preserve">Science </t>
  </si>
  <si>
    <t>366(6467), pg. 794-796</t>
  </si>
  <si>
    <t>10.1126/science.aaz1014</t>
  </si>
  <si>
    <t>https://science.sciencemag.org/content/366/6467/794.full?ijkey=BpsTMIIAzoEgE&amp;keytype=ref&amp;siteid=sci</t>
  </si>
  <si>
    <t>https://filedn.com/lYURdAnVcCykBHec07i0c6j/papers/2019-Helveston-Nahm-Science.pdf</t>
  </si>
  <si>
    <t>To meet climate goals</t>
  </si>
  <si>
    <t>we must work with China to</t>
  </si>
  <si>
    <t>scale up more green tech</t>
  </si>
  <si>
    <t>Meeting the goals of the Paris Agreement will require net zero greenhouse emissions by 2050 and substantial reductions before then. It will also require collaboration with China, which has emerged as the global leader in the mass production of low-carbon energy technologies (LCETs). In part because of China's investments in manufacturing, the LCETs required to meet climate targets have become increasingly cost-competitive with fossil fuel sources (1). But some attribute China's rapid rise in LCET sectors to unfair industrial policies—such as forced technology transfer requirements, massive subsidies, and outright intellectual property (IP) theft—aimed at strategically dominating the next generation of energy technologies (2). Trade relations between China and the world are currently unsettled, especially with the United States, a leading producer of both LCET research and development (R&amp;D) and greenhouse gas (GHG) emissions. Against this backdrop, we outline why engaging with China is the more promising path to accelerate the global deployment of LCETs and to rapidly bring new technologies to mass production.</t>
  </si>
  <si>
    <t>@article{helveston2019china,
  title={China's key role in scaling low-carbon energy technologies},
  author={Helveston, John and Nahm, Jonas},
  journal={Science},
  volume={366},
  number={6467},
  pages={794--796},
  year={2019},
  publisher={American Association for the Advancement of Science}
}</t>
  </si>
  <si>
    <t>UebtZRa9Y70C</t>
  </si>
  <si>
    <t>**Helveston, J.P.**, Seki, S., Min, J., \*\*Fairman, E., Boni, A.A., Michalek, J.J., &amp; Azevedo, I.</t>
  </si>
  <si>
    <t>Choice at the Pump: Measuring Preferences for Lower-Carbon Combustion Fuels</t>
  </si>
  <si>
    <t>Environmental Research Letters</t>
  </si>
  <si>
    <t>14(8)</t>
  </si>
  <si>
    <t>10.1088/1748-9326/ab2bd2</t>
  </si>
  <si>
    <t>https://iopscience.iop.org/article/10.1088/1748-9326/ab2bd2/meta</t>
  </si>
  <si>
    <t>https://iopscience.iop.org/article/10.1088/1748-9326/ab2bd2/pdf</t>
  </si>
  <si>
    <t>Drivers on average</t>
  </si>
  <si>
    <t>are willing to pay more for</t>
  </si>
  <si>
    <t>lower carbon fuels</t>
  </si>
  <si>
    <t>A decarbonized future will require a transition to lower carbon fuels for personal transportation. We study consumer preferences for combustion fuels including gasoline, diesel, natural gas, and E85 (85% ethanol and 15% gasoline) using consumer choice survey data from two settings: online (n = 331) and in-person at refueling stations (n = 127). Light-duty vehicle owners were asked in a series of choice tasks to choose among fuels that varied in type, price, CO2 emissions, and location of origin for a hypothetical vehicle that could accept all fuels. We find that the majority of gasoline and E85 users are willing to substitute towards other fuels at today's prices and attributes, while diesel users have a strong preference for diesel fuel. We also find that respondents are willing to pay on average $150/ton CO2 avoided from fuel consumption—more than most estimates of the social cost of carbon. Thus, communicating the climate benefits from alternative fuels may be an important strategy for decarbonizing the transportation sector.</t>
  </si>
  <si>
    <t>@article{helveston2019choice,
  title={Choice at the pump: measuring preferences for lower-carbon combustion fuels},
  author={Helveston, John P and Seki, Stephanie M and Min, Jihoon and Fairman, Evelyn and Boni, Arthur A and Michalek, Jeremy J and Azevedo, In{\^e}s ML},
  journal={Environmental Research Letters},
  volume={14},
  number={8},
  pages={084035},
  year={2019},
  publisher={IOP Publishing}
}</t>
  </si>
  <si>
    <t>roLk4NBRz8UC</t>
  </si>
  <si>
    <t>**Helveston, J.P.**, Wang, Y., Karplus, V.J., &amp; Fuchs, E.R.H.</t>
  </si>
  <si>
    <t>Institutional Complementarities: The Origins of Experimentation in China's Plug-in Electric Vehicle Industry</t>
  </si>
  <si>
    <t>Research Policy</t>
  </si>
  <si>
    <t>48(1), pg. 206-222</t>
  </si>
  <si>
    <t>10.1016/j.respol.2018.08.006</t>
  </si>
  <si>
    <t>https://www.sciencedirect.com/science/article/abs/pii/S0048733318301938</t>
  </si>
  <si>
    <t>https://filedn.com/lYURdAnVcCykBHec07i0c6j/papers/2019-Helveston-Research-Policy.pdf</t>
  </si>
  <si>
    <t>Institutions can</t>
  </si>
  <si>
    <t>dramatically affect how</t>
  </si>
  <si>
    <t>industries emerge</t>
  </si>
  <si>
    <t>A vast literature on technology transitions within industries suggests that early phases of new technologies are marked by periods of intense experimentation, but we know little about the conditions under which these periods emerge. We apply inductive, grounded theory-building techniques to examine what prompts firms to experiment across one emerging technology platform—plug-in electric vehicles (PEVs)—in China. Triangulating annual vehicle make and model sales data from 2003 to 2016 (plus monthly data from 2010 to 2016); 112 English and Mandarin archival documents from industry, academic, and news outlets; and 51 semi-structured interviews with industry, government, and academic stakeholders, we develop four in-depth case studies. We find that in contrast to the innovation trajectories of multinational and Chinese arms of joint venture (JV) firms, independent domestic Chinese firms (those with no history of international JV partnerships) are undertaking significant experimentation across multiple levels—infrastructure, core system, subsystem, and component—of the emerging PEV technology platform. We propose the concept of “institutional complementarities” to describe how interactions among institutions—here the national JV regulation and local market support and subsidies—may have turned regional markets into protected laboratories, extending the incubation periods for independent domestic firm experimentation. While this diverse experimentation may be an important antecedent of technology transition, consolidation induced by national policy standardization or competitive pressure may be required for PEV innovations to scale beyond their early, protected regional markets.</t>
  </si>
  <si>
    <t>@article{helveston2019institutional,
  title={Institutional complementarities: The origins of experimentation in China’s plug-in electric vehicle industry},
  author={Helveston, John P and Wang, Yanmin and Karplus, Valerie J and Fuchs, Erica RH},
  journal={Research Policy},
  volume={48},
  number={1},
  pages={206--222},
  year={2019},
  publisher={Elsevier}
}</t>
  </si>
  <si>
    <t>WF5omc3nYNoC</t>
  </si>
  <si>
    <t>**Helveston, J.P.**, Feit, E.M., &amp; Michalek, J.J.</t>
  </si>
  <si>
    <t>Pooling Stated and Revealed Preference Data in the Presence of Endogeneity</t>
  </si>
  <si>
    <t>Transportation Research Part B: Methodological</t>
  </si>
  <si>
    <t>109, pg. 70-89</t>
  </si>
  <si>
    <t>10.1016/j.trb.2018.01.010</t>
  </si>
  <si>
    <t>https://www.sciencedirect.com/science/article/abs/pii/S0191261516304647</t>
  </si>
  <si>
    <t>https://filedn.com/lYURdAnVcCykBHec07i0c6j/papers/2018-Helveston-TRB.pdf</t>
  </si>
  <si>
    <t>https://www.researchgate.net/publication/323491265_Pooling_stated_and_revealed_preference_data_in_the_presence_of_RP_endogeneity</t>
  </si>
  <si>
    <t>RP data with</t>
  </si>
  <si>
    <t>endogeneity may</t>
  </si>
  <si>
    <t>make things worse when pooled</t>
  </si>
  <si>
    <t>Pooled discrete choice models combine revealed preference (RP) data and stated preference (SP) data to exploit advantages of each. SP data is often treated with suspicion because consumers may respond differently in a hypothetical survey context than they do in the marketplace. However, models built on RP data can suffer from endogeneity bias when attributes that drive consumer choices are unobserved by the modeler and correlated with observed variables. Using a synthetic data experiment, we test the performance of pooled RP–SP models in recovering the preference parameters that generated the market data under conditions that choice modelers are likely to face, including (1) when there is potential for endogeneity problems in the RP data, such as omitted variable bias, and (2) when consumer willingness to pay for attributes may differ from the survey context to the market context. We identify situations where pooling RP and SP data does and does not mitigate each data source’s respective weaknesses. We also show that the likelihood ratio test, which has been widely used to determine whether pooling is statistically justifiable, (1) can fail to identify the case where SP context preference differences and RP endogeneity bias shift the parameter estimates of both models in the same direction and magnitude and (2) is unreliable when the product attributes are fixed within a small number of choice sets, which is typical of automotive RP data. Our findings offer new insights into when pooling data sources may or may not be advisable for accurately estimating market preference parameters, including consideration of the conditions and context under which the data were generated as well as the relative balance of information between data sources.</t>
  </si>
  <si>
    <t>@article{helveston2018pooling,
  title={Pooling stated and revealed preference data in the presence of RP endogeneity},
  author={Helveston, John Paul and Feit, Elea McDonnell and Michalek, Jeremy J},
  journal={Transportation Research Part B: Methodological},
  volume={109},
  pages={70--89},
  year={2018},
  publisher={Elsevier}
}</t>
  </si>
  <si>
    <t>qjMakFHDy7sC</t>
  </si>
  <si>
    <t>**Helveston, J.P.**, Liu, Y., Feit, E.M., Fuchs, E.R.H., Klampﬂ, E., &amp; Michalek, J.J.</t>
  </si>
  <si>
    <t>Will subsidies drive electric vehicle adoption? Measuring consumer preferences in the U.S. and China</t>
  </si>
  <si>
    <t>Transportation Research Part A: Policy and Practice</t>
  </si>
  <si>
    <t>73, 96–112</t>
  </si>
  <si>
    <t>10.1016/j.tra.2015.01.002</t>
  </si>
  <si>
    <t>https://www.sciencedirect.com/science/article/abs/pii/S0965856415000038</t>
  </si>
  <si>
    <t>https://zenodo.org/record/4429656</t>
  </si>
  <si>
    <t>https://filedn.com/lYURdAnVcCykBHec07i0c6j/papers/2015-Helveston-TRA.pdf</t>
  </si>
  <si>
    <t>https://www.researchgate.net/publication/272297857_Will_subsidies_drive_electric_vehicle_adoption_Measuring_consumer_preferences_in_the_US_and_China?ev=prf_high</t>
  </si>
  <si>
    <t>https://filedn.com/lYURdAnVcCykBHec07i0c6j/papers/2015-Helveston-TRA-SI.pdf</t>
  </si>
  <si>
    <t>SI</t>
  </si>
  <si>
    <t>Full electric cars:</t>
  </si>
  <si>
    <t>Chinese seem to like them more</t>
  </si>
  <si>
    <t>than Americans</t>
  </si>
  <si>
    <t>We model consumer preferences for conventional, hybrid electric, plug-in hybrid electric (PHEV), and battery electric (BEV) vehicle technologies in China and the U.S. using data from choice-based conjoint surveys fielded in 2012–2013 in both countries. We find that with the combined bundle of attributes offered by vehicles available today, gasoline vehicles continue in both countries to be most attractive to consumers, and American respondents have significantly lower relative willingness-to-pay for BEV technology than Chinese respondents. While U.S. and Chinese subsidies are similar, favoring vehicles with larger battery packs, differences in consumer preferences lead to different outcomes. Our results suggest that with or without each country’s 2012–2013 subsidies, Chinese consumers are willing to adopt today’s BEVs and mid-range PHEVs at similar rates relative to their respective gasoline counterparts, whereas American consumers prefer low-range PHEVs despite subsidies. This implies potential for earlier BEV adoption in China, given adequate supply. While there are clear national security benefits for adoption of BEVs in China, the local and global social impact is unclear: With higher electricity generation emissions in China, a transition to BEVs may reduce oil consumption at the expense of increased air pollution and/or greenhouse gas emissions. On the other hand, demand from China could increase global incentives for electric vehicle technology development with the potential to reduce emissions in countries where electricity generation is associated with lower emissions.</t>
  </si>
  <si>
    <t>@article{helveston2015will,
  title={Will subsidies drive electric vehicle adoption? Measuring consumer preferences in the US and China},
  author={Helveston, John Paul and Liu, Yimin and Feit, Elea McDonnell and Fuchs, Erica and Klampfl, Erica and Michalek, Jeremy J},
  journal={Transportation Research Part A: Policy and Practice},
  volume={73},
  pages={96--112},
  year={2015},
  publisher={Elsevier}
}</t>
  </si>
  <si>
    <t>working</t>
  </si>
  <si>
    <t>IWHjjKOFINEC</t>
  </si>
  <si>
    <t>Forsythe, Connor R., Arteaga, C., &amp; **Helveston, J.P.**</t>
  </si>
  <si>
    <t>The Mixed Integrated Learning Logit (MILL) Model: A Machine Learning Approach to Modeling Unobserved Heterogeneity in Discrete Choice Analysis</t>
  </si>
  <si>
    <t>Working paper</t>
  </si>
  <si>
    <t>https://arxiv.org/abs/2402.00184</t>
  </si>
  <si>
    <t>https://github.com/crforsythe/HAVAN-Paper</t>
  </si>
  <si>
    <t>Flexible models</t>
  </si>
  <si>
    <t>of heterogeneous</t>
  </si>
  <si>
    <t>choice preferences</t>
  </si>
  <si>
    <t>This paper introduces the Mixed Integrated Learning Logit (MILL) model, a novel class of discrete choice models that leverages machine learning to model unobserved heterogeneity in discrete choice analysis. The traditional mixed logit model (also known as "random parameters logit") parameterizes preference heterogeneity through assumptions about feature-specific heterogeneity distributions. These parameters are also typically assumed to be linearly added in a random utility (or random regret) model. MILL models relax these assumptions by instead directly relating model inputs to parameters of alternative-specific distributions of unobserved preference heterogeneity, with no feature-level assumptions required. MILL models also eliminate the need to make any assumption about the functional form of the latent decision model, freeing modelers from potential misspecification errors while affording unprecedented flexibility in modeling preference heterogeneity. In a simulation experiment, we demonstrate that a single MILL model specification is capable of correctly modeling multiple different data generating processes with different forms of utility and heterogeneity specifications. Using the 2017 National Household Travel Survey data as a case study, we also demonstrate that MILL models can achieve superior out-of-sample predictive performance compared to mixed logit and artificial neural network models.</t>
  </si>
  <si>
    <t>\*Kaplan, Leah, \*\*Nurullaeva, L., &amp; **Helveston, J.P.**</t>
  </si>
  <si>
    <t>Modeling the Operational and Labor Costs of Autonomous Robotaxi Services</t>
  </si>
  <si>
    <t>Under review</t>
  </si>
  <si>
    <t>\*Kaplan, Leah, Szajnfarber, Z., &amp; **Helveston, John P.**</t>
  </si>
  <si>
    <t>Mapping the AI-Enabled Transformation of Labor in Autonomous Vehicle Taxi Services</t>
  </si>
  <si>
    <t>\*Zhao, Lujin &amp; **Helveston, J.P.**</t>
  </si>
  <si>
    <t>Spatial Distributions of Plug-in Electric Vehicle Supply in the United States</t>
  </si>
  <si>
    <t>Murphree, M., **Helveston, J.P.**, &amp; Breznitz, D.</t>
  </si>
  <si>
    <t>Intellectual Property as a Production Input: Expanding Theories of Institutional Change and Profiting from Innovation</t>
  </si>
  <si>
    <t>Chinese producers</t>
  </si>
  <si>
    <t>make money by making stuff,</t>
  </si>
  <si>
    <t>not selling IP</t>
  </si>
  <si>
    <t>conference</t>
  </si>
  <si>
    <t>dhFuZR0502QC</t>
  </si>
  <si>
    <t>Shifting, Not Shrinking? Exploring Labor Roles in Traditional and Automated Door-to-Door Transportation Service</t>
  </si>
  <si>
    <t>Proceedings of the IISE Annual Conference &amp; Expo 2023</t>
  </si>
  <si>
    <t>New Orleans, LA, USA, May 20-23, 2023, 3125</t>
  </si>
  <si>
    <t>https://filedn.com/lYURdAnVcCykBHec07i0c6j/papers/2023-Kaplan-IISE-Conf-Proceedings.pdf</t>
  </si>
  <si>
    <t>AV taxis will</t>
  </si>
  <si>
    <t>transform labor, not remove</t>
  </si>
  <si>
    <t>it altogether</t>
  </si>
  <si>
    <t>\*Kaplan, Leah &amp; **Helveston, John P.**</t>
  </si>
  <si>
    <t>National Academies Transportation Research Board Annual Meeting</t>
  </si>
  <si>
    <t>Washington, D.C. Jan. 09</t>
  </si>
  <si>
    <t>https://filedn.com/lYURdAnVcCykBHec07i0c6j/papers/2023-Kaplan-Helveston-TRB.pdf</t>
  </si>
  <si>
    <t>qUcmZB5y_30C</t>
  </si>
  <si>
    <t>The Rise of Chinese Leadership in the Plug-in Electric Vehicle Industry</t>
  </si>
  <si>
    <t>Chinese Industrial Policy: Sectors and Resources</t>
  </si>
  <si>
    <t>UCSD Institute on Global Conflict and Cooperation, San Diego, CA. Sep. 30</t>
  </si>
  <si>
    <t>https://filedn.com/lYURdAnVcCykBHec07i0c6j/papers/2022-Helveston-Chinese-EV-Leadership.pdf</t>
  </si>
  <si>
    <t>Half the world's EVs</t>
  </si>
  <si>
    <t>are sold in China; how? Well...</t>
  </si>
  <si>
    <t>policy matters</t>
  </si>
  <si>
    <t>China is the world's largest market for plug-in electric vehicles (PEVs), comprising approximately half of all PEVs sold worldwide. Chinese firms also dominate China's domestic PEV market, with Tesla being the only foreign competitor able to obtain an appreciable share of the market. This outcome is the result of multiple factors that have occurred over multiple decades, including a series of strategic industrial policies going back to the 1980s as well as how those policies interacted with China’s unique institutional environment. Combined with favorable market conditions, rapid infrastructure construction, and the ambition of innovative Chinese firms, China's PEV industry has rapidly evolved to become a world-leading market. This paper chronicles these various factors and discusses some implications for the future of China's PEV industry.</t>
  </si>
  <si>
    <t>@inproceedings{helveston2022,
  title={The Rise of Chinese Leadership in the Plug-in Electric Vehicle Industry},
  author={Helveston, John Paul},
  crossref =     {Chinese Industrial Policy: Sectors and Resources},
  year={2022},
  publisher={IGCC}
}</t>
  </si>
  <si>
    <t>The cbcTools Package: Tools for Designing and Testing Choice-Based Conjoint Surveys in R</t>
  </si>
  <si>
    <t>Sawtooth Software Conference</t>
  </si>
  <si>
    <t>Orlando, FL. May 6</t>
  </si>
  <si>
    <t>https://sawtoothsoftware.com/resources/technical-papers/conferences/sawtooth-software-conference-2022</t>
  </si>
  <si>
    <t>https://github.com/jhelvy/2022-sawtooth-conf</t>
  </si>
  <si>
    <t>https://filedn.com/lYURdAnVcCykBHec07i0c6j/papers/2022-Helveston-sawtooth-conf-cbctools.pdf</t>
  </si>
  <si>
    <t>Make choice-based conjoint</t>
  </si>
  <si>
    <t>designs and test the sample</t>
  </si>
  <si>
    <t>size requirements</t>
  </si>
  <si>
    <r>
      <rPr>
        <sz val="9"/>
        <rFont val="Roboto Mono"/>
      </rPr>
      <t xml:space="preserve">While many open source packages and applications exist for estimating choice models using data from choice-based conjoint experiments, few packages exist for generating and evaluating experiment designs prior to collecting data. Furthermore, existing tools for designing choice-based conjoint survey experiments often focus on optimizing the design for statistical power under ideal conditions, but they rarely provide guidance on important design decisions for less ideal conditions, such as when preference heterogeneity or strong interactions between certain attributes may be expected in respondent choices. The `cbcTools` R package was developed to provide researchers tools for creating and evaluating experiment designs and sample size requirements under a variety of different conditions prior to fielding an experiment. The package contains functions for generating experiment designs, examining attribute balance and overlap, simulating choice data, and conducting power analyses. The package data format matches that of experiment designs exported from Sawtooth Software, enabling a smooth integration with the Sawtooth Software workflow. Detailed package documentation can be found at </t>
    </r>
    <r>
      <rPr>
        <u/>
        <sz val="9"/>
        <color rgb="FF1155CC"/>
        <rFont val="Roboto Mono"/>
      </rPr>
      <t>https://jhelvy.github.io/cbcTools/.</t>
    </r>
  </si>
  <si>
    <t>Obtaining Willingness to Pay Estimates from Preference Space and Willingness to Pay Space Utility Models</t>
  </si>
  <si>
    <t>San Antonio, TX. Apr. 19</t>
  </si>
  <si>
    <t>https://www.jhelvy.com/talks/2021-04-20-sawtooth-conf-logitr/</t>
  </si>
  <si>
    <t>https://github.com/jhelvy/2021-sawtooth-conf</t>
  </si>
  <si>
    <t>https://filedn.com/lYURdAnVcCykBHec07i0c6j/papers/2021-Helveston-sawtooth-conf-wtp.pdf</t>
  </si>
  <si>
    <t>Zph67rFs4hoC</t>
  </si>
  <si>
    <t>Liang, Z., Li, D., Fu, X., Beltekian, D., **Helveston, J.P.**</t>
  </si>
  <si>
    <t>Why is Siemens establishing its robotics R&amp;D centers in China? A case study on the Siemens industrial robot project</t>
  </si>
  <si>
    <t>IEEE International Symposium on Innovation and Entrepreneurship (TEMS-ISIE)</t>
  </si>
  <si>
    <t>Beijing, PRC, pp. 1-9</t>
  </si>
  <si>
    <t>10.1109/TEMS-ISIE.2018.8478558</t>
  </si>
  <si>
    <t>https://ieeexplore.ieee.org/document/8478558</t>
  </si>
  <si>
    <t>https://filedn.com/lYURdAnVcCykBHec07i0c6j/papers/2018-Liang-IEEE.pdf</t>
  </si>
  <si>
    <t>MNE research</t>
  </si>
  <si>
    <t>and host country R&amp;D</t>
  </si>
  <si>
    <t>systems co-evolve</t>
  </si>
  <si>
    <t>Up, Down, and Sideways: Innovation in China and the Case of Plug-in Electric Vehicles</t>
  </si>
  <si>
    <t>Academy of Management Annual Meeting</t>
  </si>
  <si>
    <t>Anaheim, CA. Aug. 5</t>
  </si>
  <si>
    <t>https://filedn.com/lYURdAnVcCykBHec07i0c6j/papers/2017-Helveston-aom.pdf</t>
  </si>
  <si>
    <t>http://ssrn.com/abstract=2817052</t>
  </si>
  <si>
    <t>SSRN</t>
  </si>
  <si>
    <t>Washington, D.C. Jan. 13</t>
  </si>
  <si>
    <t>https://filedn.com/lYURdAnVcCykBHec07i0c6j/papers/2014-Helveston-TRB.pdf</t>
  </si>
  <si>
    <t>magazine</t>
  </si>
  <si>
    <t>Driverless – but not humanless – vehicle systems</t>
  </si>
  <si>
    <t>IISE Magazine</t>
  </si>
  <si>
    <t>November</t>
  </si>
  <si>
    <t>https://filedn.com/lYURdAnVcCykBHec07i0c6j/papers/2023-Kaplan-IISE-Magazine.pdf</t>
  </si>
  <si>
    <t>KlAtU1dfN6UC</t>
  </si>
  <si>
    <t xml:space="preserve">**Helveston, John P.** </t>
  </si>
  <si>
    <t>Why the US Trails the World in Electric Vehicles</t>
  </si>
  <si>
    <t>Issues in Science and Technology</t>
  </si>
  <si>
    <t>37, no. 2 (Winter 2021)</t>
  </si>
  <si>
    <t>https://issues.org/china-norway-ev-tesla/</t>
  </si>
  <si>
    <t>https://filedn.com/lYURdAnVcCykBHec07i0c6j/papers/2021-Helveston-Issues-Winter.pdf</t>
  </si>
  <si>
    <t>US policies</t>
  </si>
  <si>
    <t>must be more aggressive to</t>
  </si>
  <si>
    <t>increase EV sales</t>
  </si>
  <si>
    <t>ufrVoPGSRksC</t>
  </si>
  <si>
    <t>Perspective: Navigating an Uncertain Future for US Roads</t>
  </si>
  <si>
    <t>34, no. 1 (Fall 2017)</t>
  </si>
  <si>
    <t>http://issues.org/34-1/perspective-navigating-an-uncertain-future-for-us-roads/</t>
  </si>
  <si>
    <t>https://filedn.com/lYURdAnVcCykBHec07i0c6j/papers/2017-Helveston-Issues-Fall.pdf</t>
  </si>
  <si>
    <t>We should tax miles</t>
  </si>
  <si>
    <t>driven (not fuel consumed), or</t>
  </si>
  <si>
    <t>our roads will crumble</t>
  </si>
  <si>
    <t>@Manual{Helveston2022,
title = {cbcTools: Tools For Designing Choice-Based Conjoint Survey Experiments},
author = {John Paul Helveston},
year = {2022},
note = {R package version 0.0.3},
url = {https://jhelvy.github.io/cbcTools/},
}</t>
  </si>
  <si>
    <t>book</t>
  </si>
  <si>
    <t>**Helveston, John P.**  and \*\*Lola Nurullaeva</t>
  </si>
  <si>
    <t xml:space="preserve">Yet Another R Dataviz (YARD) Book </t>
  </si>
  <si>
    <t>https://yardbook.jhelvy.com/</t>
  </si>
  <si>
    <t>https://github.com/jhelvy/yardbook</t>
  </si>
  <si>
    <t>An open source book</t>
  </si>
  <si>
    <t>on good dataviz concepts</t>
  </si>
  <si>
    <t>in the R language</t>
  </si>
  <si>
    <t>Programming for Analytics in R.</t>
  </si>
  <si>
    <t>https://p4a.jhelvy.com/</t>
  </si>
  <si>
    <t>https://github.com/jhelvy/p4a-book</t>
  </si>
  <si>
    <t>on programming in R and</t>
  </si>
  <si>
    <t>working with data</t>
  </si>
  <si>
    <t>Ren, Justin Z. &amp; **Helveston, John P.**</t>
  </si>
  <si>
    <t>Measuring Electric Vehicle Infrastructure Among Cities: A Multi-Dimensional Approach</t>
  </si>
  <si>
    <t>Melting the ICE: Lessons from China and the West in the Transition from the Internal Combustion Engine to Electric Vehicles. Ed. Fox-Penner, P., Ren, Z.J., &amp; Jermain, D.O.</t>
  </si>
  <si>
    <t>Harvard University Press</t>
  </si>
  <si>
    <t>http://www.bu.edu/ise/research/meltingtheice/</t>
  </si>
  <si>
    <t>https://filedn.com/lYURdAnVcCykBHec07i0c6j/papers/2019-Ren-Helveston-MeltingIce-Chap7.pdf</t>
  </si>
  <si>
    <t>Hatch, Jennifer &amp; **Helveston, J.P.**</t>
  </si>
  <si>
    <t>Brookline, MA: A Small Town seeking to lead in a Broader EV Charging Network</t>
  </si>
  <si>
    <t>https://filedn.com/lYURdAnVcCykBHec07i0c6j/papers/2019-Hatch-Helveston-MeltingIce-Chap6.pdf</t>
  </si>
  <si>
    <t>theses</t>
  </si>
  <si>
    <t>Development and Adoption of Plug-in Electric Vehicles in China: Markets, Policy, and Innovation</t>
  </si>
  <si>
    <t>Ph.D. Dissertation</t>
  </si>
  <si>
    <t>Carnegie Mellon University, Pittsburgh, PA</t>
  </si>
  <si>
    <t>https://filedn.com/lYURdAnVcCykBHec07i0c6j/papers/2016%20-%20Helveston%20-%20Dissertation%20-%20Development%20and%20Adoption%20of%20Plug-in%20Electric%20Vehicles%20in%20China.pdf</t>
  </si>
  <si>
    <t>https://filedn.com/lYURdAnVcCykBHec07i0c6j/papers/2016-Helveston-Dissertation.pdf</t>
  </si>
  <si>
    <t>https://www.researchgate.net/publication/315897350_Development_and_Adoption_of_Plug-in_Electric_Vehicles_in_China_Markets_Policy_and_Innovation</t>
  </si>
  <si>
    <t>https://kilthub.cmu.edu/articles/Development_and_Adoption_of_Plug-in_Electric_Vehicles_in_China_Markets_Policy_and_Innovation/6715850</t>
  </si>
  <si>
    <t>CMU Repository</t>
  </si>
  <si>
    <t>theses_student</t>
  </si>
  <si>
    <t>Roberson, Laura A.</t>
  </si>
  <si>
    <t>Accelerating Electric Vehicle Adoption in the United States: The Impact of Experience, Incentives, and Resale Value</t>
  </si>
  <si>
    <t>The George Washington University, Washington, DC</t>
  </si>
  <si>
    <t>https://filedn.com/lYURdAnVcCykBHec07i0c6j/papers/2024-Roberson-Dissertation.pdf</t>
  </si>
  <si>
    <t>oped</t>
  </si>
  <si>
    <t>**Helveston, John P.**, Triolo, P., &amp; Nahm, J.</t>
  </si>
  <si>
    <t>The Problem With “Overcapacity” in China’s Automotive Industry</t>
  </si>
  <si>
    <t>The Wire China</t>
  </si>
  <si>
    <t>https://www.thewirechina.com/2024/09/08/the-problem-with-overcapacity-in-chinas-automotive-industry-auto-china/</t>
  </si>
  <si>
    <t>https://filedn.com/lYURdAnVcCykBHec07i0c6j/papers/2024-Helveston-The-Wire-China-Sept.pdf</t>
  </si>
  <si>
    <t>Electric Vehicle Owners Are Not Driving Enough—And That’s Bad</t>
  </si>
  <si>
    <t>Scientific American</t>
  </si>
  <si>
    <t>https://www.scientificamerican.com/article/electric-vehicle-owners-are-not-driving-enough-and-thats-bad/</t>
  </si>
  <si>
    <t>https://filedn.com/lYURdAnVcCykBHec07i0c6j/papers/2023-Helveston-Scientific-American.pdf</t>
  </si>
  <si>
    <t>The Cost of Going Solo in Solar</t>
  </si>
  <si>
    <t>New Security Beat</t>
  </si>
  <si>
    <t>https://www.newsecuritybeat.org/2022/11/cost-solo-solar/</t>
  </si>
  <si>
    <t>https://filedn.com/lYURdAnVcCykBHec07i0c6j/papers/2022-Helveston-New-Security-Beat.pdf</t>
  </si>
  <si>
    <t>To boost solar, the US should use more carrots and fewer sticks</t>
  </si>
  <si>
    <t>The Hill</t>
  </si>
  <si>
    <t>https://thehill.com/opinion/energy-environment/3729136-to-boost-solar-the-us-should-use-more-carrots-and-fewer-sticks/</t>
  </si>
  <si>
    <t>https://filedn.com/lYURdAnVcCykBHec07i0c6j/papers/2022-Helveston-The-Hill-Nov.pdf</t>
  </si>
  <si>
    <t>Tariffs won’t build a robust US solar industry</t>
  </si>
  <si>
    <t>https://thehill.com/opinion/energy-environment/3473602-tariffs-wont-build-a-robust-us-solar-industry/</t>
  </si>
  <si>
    <t>https://filedn.com/lYURdAnVcCykBHec07i0c6j/papers/2022-Helveston-The-Hill-May.pdf</t>
  </si>
  <si>
    <t>other</t>
  </si>
  <si>
    <t>Podcast: GWU Professor John Helveston on EVs in China</t>
  </si>
  <si>
    <t>The Future Car: A Siemens Podcast</t>
  </si>
  <si>
    <t>May 13, 2019</t>
  </si>
  <si>
    <t>https://shows.pippa.io/the-future-car-a-siemens-podcast/episodes/john-helveston</t>
  </si>
  <si>
    <t>Listen</t>
  </si>
  <si>
    <t>China’s looser rules may usher in a new era for EV and AV companies</t>
  </si>
  <si>
    <t>Axios</t>
  </si>
  <si>
    <t>February 1, 2019</t>
  </si>
  <si>
    <t>https://www.axios.com/chinas-looser-rules-may-usher-in-a-new-era-for-ev-and-av-companies-2ad9f9c2-2b0e-46c6-9b58-87f409159fff.html</t>
  </si>
  <si>
    <t>https://filedn.com/lYURdAnVcCykBHec07i0c6j/papers/2019-Helveston-Axios-China.pdf</t>
  </si>
  <si>
    <t>Will Autonomous Vehicles be Electric?</t>
  </si>
  <si>
    <t>Institute for Sustainable Energy Blog</t>
  </si>
  <si>
    <t>August 8, 2018</t>
  </si>
  <si>
    <t>https://www.bu.edu/ise/2018/08/27/will-autonomous-vehicles-be-electric/</t>
  </si>
  <si>
    <t>https://filedn.com/lYURdAnVcCykBHec07i0c6j/papers/2018-Helveston-ISE-Blog-AVs.pdf</t>
  </si>
  <si>
    <t>software</t>
  </si>
  <si>
    <t>**Helveston, John P.** (_aut_, _cre_, _cph_), \*Pingfan Hu (_aut_, _cre_), \*\*Bogdan Bunea (_aut_, _cre_)</t>
  </si>
  <si>
    <t>`surveydown`: Markdown-Based Surveys Using Quarto Shiny Documents</t>
  </si>
  <si>
    <t>R package</t>
  </si>
  <si>
    <t>https://surveydown.org/</t>
  </si>
  <si>
    <t>Documentation</t>
  </si>
  <si>
    <t>Generate surveys</t>
  </si>
  <si>
    <t>with Quarto, shiny, and plain</t>
  </si>
  <si>
    <t>markdown text and code</t>
  </si>
  <si>
    <t>**Helveston, John P.** (_aut_, _cre_, _cph_)</t>
  </si>
  <si>
    <t>https://jhelvy.github.io/logitr/</t>
  </si>
  <si>
    <t>@Manual{Helveston2022,
title = {logitr: Fast Estimation of Multinomial and Mixed Logit Models with Preference Space and Willingness to Pay Space Utility Parameterizations},
author = {John Paul Helveston},
year = {2021},
note = {R package version 0.7.0},
url = {https://jhelvy.github.io/logitr/},
}</t>
  </si>
  <si>
    <t>**Helveston, John P.** (_aut_, _cre_, _cph_) &amp; Aden-Buie, Garrick (_aut_)</t>
  </si>
  <si>
    <t>`renderthis`: Render Slides To Different Formats</t>
  </si>
  <si>
    <t>https://jhelvy.github.io/renderthis</t>
  </si>
  <si>
    <t>Render your slides to</t>
  </si>
  <si>
    <t>formats like PDF and</t>
  </si>
  <si>
    <t>PNG and more!</t>
  </si>
  <si>
    <t>`cbcTools`: Tools For Designing Choice-Based Conjoint Survey Experiments</t>
  </si>
  <si>
    <t>https://jhelvy.github.io/cbcTools</t>
  </si>
  <si>
    <t>Make designs for choice</t>
  </si>
  <si>
    <t>experiments in R and</t>
  </si>
  <si>
    <t>test them thoroughly</t>
  </si>
  <si>
    <t>date</t>
  </si>
  <si>
    <t>with</t>
  </si>
  <si>
    <t>series</t>
  </si>
  <si>
    <t>host</t>
  </si>
  <si>
    <t>location</t>
  </si>
  <si>
    <t>url</t>
  </si>
  <si>
    <t>Consumer Preferences for Electrified Vehicles in China and the U.S.</t>
  </si>
  <si>
    <t>Center for Climate and Energy Decision Making Annual Meeting</t>
  </si>
  <si>
    <t>Pittsburgh, PA</t>
  </si>
  <si>
    <t>Comparing Consumer Preferences for Electrified Vehicles in China and the U.S.</t>
  </si>
  <si>
    <t>Industry Studies Association Annual Conference</t>
  </si>
  <si>
    <t>Kansas City, MO</t>
  </si>
  <si>
    <t>Who is more willing to adopt electrified vehicle: China or the U.S.?</t>
  </si>
  <si>
    <t>Technology Management and Policy Consortium</t>
  </si>
  <si>
    <t>Boston, MA</t>
  </si>
  <si>
    <t>poster</t>
  </si>
  <si>
    <t>32nd Annual USAEE / IAEE North American Conference</t>
  </si>
  <si>
    <t>Anchorage, AK</t>
  </si>
  <si>
    <t>invited</t>
  </si>
  <si>
    <t>China Today: Economy, Technology, and People, University of Pittsburgh &amp; Carnegie Mellon University</t>
  </si>
  <si>
    <t>The Chinese Car Market: Development and Electrification</t>
  </si>
  <si>
    <t>Consumer Preferences for Hybrid and Electric Vehicles in China and the U.S.</t>
  </si>
  <si>
    <t>INFORMS Annual Meeting</t>
  </si>
  <si>
    <t>Minneapolis, MN</t>
  </si>
  <si>
    <t>Washington, DC</t>
  </si>
  <si>
    <t>Electric Vehicles in China: A Nexus of Consumer Preferences, Policy, Innovation, and the Environment</t>
  </si>
  <si>
    <t>Beijing Energy Network</t>
  </si>
  <si>
    <t>Beijing, China</t>
  </si>
  <si>
    <t>https://filedn.com/lYURdAnVcCykBHec07i0c6j/slides/2014-06-25.pdf</t>
  </si>
  <si>
    <t>organizer</t>
  </si>
  <si>
    <t>Tensions Between Government, Industrial Innovation, and Energy Efficiency in China</t>
  </si>
  <si>
    <t>Philadelphia, PA</t>
  </si>
  <si>
    <t>https://filedn.com/lYURdAnVcCykBHec07i0c6j/slides/2014-AOM.pdf</t>
  </si>
  <si>
    <t>Shanghai Jiaotong University</t>
  </si>
  <si>
    <t>Shanghai, China</t>
  </si>
  <si>
    <t>DRUID Annual Conference</t>
  </si>
  <si>
    <t>Copenhagen, Denmark</t>
  </si>
  <si>
    <t>Consortium For Cooperation And Competition (CCC)</t>
  </si>
  <si>
    <t>Milan, Italy</t>
  </si>
  <si>
    <t>Innovation in China From an Individual, Firm, and National Perspective</t>
  </si>
  <si>
    <t>Anaheim, CA</t>
  </si>
  <si>
    <t>https://filedn.com/lYURdAnVcCykBHec07i0c6j/slides/2016-AOM.pdf</t>
  </si>
  <si>
    <t>Innovation in China's Plug-in Electric Vehicle Industry</t>
  </si>
  <si>
    <t>Chinese Politics Research Workshop</t>
  </si>
  <si>
    <t>Cambridge, MA</t>
  </si>
  <si>
    <t>State Information Center (国家信息中心)</t>
  </si>
  <si>
    <t>Tsinghua University Technology Policy Research Center (清华大学中国科技政策研究中心)</t>
  </si>
  <si>
    <t>Innovating Up, Down, and Sideways: The (Unlikely) Institutional Origins of Experimentation inChina's Plug-in Electric Vehicle Industry</t>
  </si>
  <si>
    <t>Policy, Strategy, and the Emergence of Electric Car Sharing in China</t>
  </si>
  <si>
    <t>BU Upward Bound, Boston University</t>
  </si>
  <si>
    <t>Types of Energy</t>
  </si>
  <si>
    <t>Development and Adoption of Plug-in Electric Vehicles in China</t>
  </si>
  <si>
    <t>Center for International Environment and Resource Policy, The Fletcher School, Tufts</t>
  </si>
  <si>
    <t>Medford, MA</t>
  </si>
  <si>
    <t>Vehicle Electrification in China: Preferences, Policy, and Technology Trajectories</t>
  </si>
  <si>
    <t>Energy Policy Seminar Series</t>
  </si>
  <si>
    <t>Harvard Kennedy School</t>
  </si>
  <si>
    <t>Cabridge, MA</t>
  </si>
  <si>
    <t>The Institutional Origins of Domestic Experimentation in China's Plug-in Electric Vehicle Industry</t>
  </si>
  <si>
    <t>Atlanta Conference on Science &amp; Innovation Policy</t>
  </si>
  <si>
    <t>Atlanta, GA</t>
  </si>
  <si>
    <t>The Institutional Origins of Experimentation in China's Plug-in Electric Vehicle Industry</t>
  </si>
  <si>
    <t>Michael Murphree, Dan Breznitz</t>
  </si>
  <si>
    <t>Frontiers in International Business Symposium, The Darla Moore School of Business, University of South Carolina</t>
  </si>
  <si>
    <t>Columbia, SC</t>
  </si>
  <si>
    <t>Trends in Vehicle Electrification: China, Policy, &amp; Car Sharing</t>
  </si>
  <si>
    <t>Seminar Series</t>
  </si>
  <si>
    <t>Institute for Sustainable Energy</t>
  </si>
  <si>
    <t>Science-Based Business Initiative Seminar Series, Harvard Business School</t>
  </si>
  <si>
    <t>Seattle, WA</t>
  </si>
  <si>
    <t>International Business, Economic Geography and Innovation (iBEGIN)</t>
  </si>
  <si>
    <t>APPAM Fall Research Conference</t>
  </si>
  <si>
    <t>China's EV Future: The Good, The Bad, and The Ugly</t>
  </si>
  <si>
    <t>International EV Policy Council Workshop at the National Academies Transportation Research Board Annual Meeting</t>
  </si>
  <si>
    <t>panelist</t>
  </si>
  <si>
    <t>Lessons from China: Rapid EV Adoption in a Dynamic Policy Landscape</t>
  </si>
  <si>
    <t>GWU Law Transportation Electrification Conference</t>
  </si>
  <si>
    <t>Visualizing Information</t>
  </si>
  <si>
    <t>Engineering &amp; Public Policy Department</t>
  </si>
  <si>
    <t>Influence of knowledge and direct experience on the willingness to consider purchasing an EV</t>
  </si>
  <si>
    <t>Laura Roberson</t>
  </si>
  <si>
    <t>Solar Power International Conference</t>
  </si>
  <si>
    <t>Salt Lake City, UT</t>
  </si>
  <si>
    <t>Center for Global Sustainability, U. of Maryland School of Public Policy</t>
  </si>
  <si>
    <t>College Park, MD</t>
  </si>
  <si>
    <t>Early Career Scholar Panel</t>
  </si>
  <si>
    <t>China's Impact on the Solar Industry: Lessons for the Future of Clean Energy</t>
  </si>
  <si>
    <t>Information Technology and Innovation Foundation</t>
  </si>
  <si>
    <t>https://itif.org/events/2019/10/30/chinas-impact-solar-industry-lessons-future-clean-energy</t>
  </si>
  <si>
    <t>Center for Security and Emerging Technology, Georgetown</t>
  </si>
  <si>
    <t>Accelerating plug-in electric vehicle adoption and achieving climate goals</t>
  </si>
  <si>
    <t>Industry Studies Association Annual Conferencej</t>
  </si>
  <si>
    <t>Virtual</t>
  </si>
  <si>
    <t>Barry Naughton</t>
  </si>
  <si>
    <t>2020 Fall Speaker Series on US-China Relations in the 21st Century</t>
  </si>
  <si>
    <t>Confucius Institute at the University of Albany</t>
  </si>
  <si>
    <t>Albany, NY</t>
  </si>
  <si>
    <t>https://www.albany.edu/confucius/US-china-relations-fall2020.html</t>
  </si>
  <si>
    <t>Special Session 11: Economics and Decision-making in the Transition to Electric Vehicles</t>
  </si>
  <si>
    <t>Eric Hittinger</t>
  </si>
  <si>
    <t>2020 IEEE Vehicular Power and Propulsion Conference (VPPC)</t>
  </si>
  <si>
    <t>Gijón, Spain</t>
  </si>
  <si>
    <t>Reflection on Government Subsidies for Clean Energy Technologies: The Case of Electric Vehicles</t>
  </si>
  <si>
    <t>Hittinger, E., Nealer, R., Dunckley, J., &amp; Berube, M.</t>
  </si>
  <si>
    <t>https://appam.confex.com/appam/2020/meetingapp.cgi/Session/14742</t>
  </si>
  <si>
    <t>Economic and Behavioral Dimensions of Urban Transport Policy - How Does Consumer Experience \&amp; Knowledge Affect Willingness to Adopt Plug-in Electric Vehicles?</t>
  </si>
  <si>
    <t>https://appam.confex.com/appam/2020/meetingapp.cgi/Paper/37403</t>
  </si>
  <si>
    <t>Using formr to create R-powered surveys with individualized feedback</t>
  </si>
  <si>
    <t>RStudio Global Conference</t>
  </si>
  <si>
    <t>https://www.jhelvy.com/talks/2021-01-21-surveys-with-formr/</t>
  </si>
  <si>
    <t>Sawtooth Software Conference Turbo Choice Modeling Seminar</t>
  </si>
  <si>
    <t>Intellectual Property as a Production Input: Reconsidering Theories of Institutional Change &amp; Profiting from Innovation</t>
  </si>
  <si>
    <t>Healthier &amp; Happier Hands: Software and Hardware Solutions for More Ergonomic Typing</t>
  </si>
  <si>
    <t>useR! 2021: The R Conference</t>
  </si>
  <si>
    <t>https://www.jhelvy.com/talks/2021-07-06-user-healthy-hands/</t>
  </si>
  <si>
    <t>Measuring and Modeling Multi-Modal Trip Choices with Uncertain Arrival Times</t>
  </si>
  <si>
    <t>Lujin Zhao</t>
  </si>
  <si>
    <t>CESUN Annual Conference</t>
  </si>
  <si>
    <t>Charlottesville, VA</t>
  </si>
  <si>
    <t>Identifying more efficient &amp; equitable plug-in electric vehicle (PEV) financial incentives through consumer-centric design</t>
  </si>
  <si>
    <t>Leah Kaplan</t>
  </si>
  <si>
    <t>Why the US needs to collaborate with China on solar</t>
  </si>
  <si>
    <t>Scott Sklar</t>
  </si>
  <si>
    <t>US-China cooperation and competition in alternative energy industries</t>
  </si>
  <si>
    <t>Elliott School of International Affairs</t>
  </si>
  <si>
    <t>China's EV Future</t>
  </si>
  <si>
    <t>Marianne Ryghaug and Maciej Mazur</t>
  </si>
  <si>
    <t>EV: Plugging Into The Future</t>
  </si>
  <si>
    <t>University of Pittsburgh</t>
  </si>
  <si>
    <t>Orlando, FL</t>
  </si>
  <si>
    <t>https://www.jhelvy.com/talks/2022-05-06-sawtooth-conf-cbctools/</t>
  </si>
  <si>
    <t>The renderthis Package: Render Slides To Different Formats</t>
  </si>
  <si>
    <t>useR! 2022: The R Conference</t>
  </si>
  <si>
    <t>https://github.com/jhelvy/renderthis</t>
  </si>
  <si>
    <t>Not All Subsidies Are Equal: Identifying More Efficient and Equitable Plug-in Electric Vehicle Subsidies</t>
  </si>
  <si>
    <t>The Role of Open Online Labor Platforms in the Future of Intellectual Work</t>
  </si>
  <si>
    <t>Suparna Mukherjee and Zoe Szajnfarber</t>
  </si>
  <si>
    <t>Quantifying the Role of Globalized Solar Photovoltaic Supply Chains in Reaching Climate Targets</t>
  </si>
  <si>
    <t>Gang He and Michael Davidson</t>
  </si>
  <si>
    <t>discussant</t>
  </si>
  <si>
    <t>15th Annual Conference on China's Economic Development and U.S.-China Economic Relations</t>
  </si>
  <si>
    <t>GWU Elliott School of International Affairs</t>
  </si>
  <si>
    <t>Washington, D.C.</t>
  </si>
  <si>
    <t>Association for Public Policy Analysis &amp; Management Annual Conference</t>
  </si>
  <si>
    <t>Not All Subsidies are Equal: Measuring Preferences for Electric Vehicle Financial Incentives</t>
  </si>
  <si>
    <t>Future of ZEV &amp; EVSE Panel</t>
  </si>
  <si>
    <t>2023 Fedfleet Annual Meeting</t>
  </si>
  <si>
    <t>Economics of Energy Use in Transportation, Spring 2023</t>
  </si>
  <si>
    <t>NBER Economics of Energy Use in Transportation</t>
  </si>
  <si>
    <t>Going the Distance: Quantifying Electric Vehicle Mileage in the United States</t>
  </si>
  <si>
    <t>Columbus, OH</t>
  </si>
  <si>
    <t>Quantifying the effect of subsidies on the residual value of plug-in vehicles in the United States</t>
  </si>
  <si>
    <t>Coming of Age: An Investigation of Electric Vehicle (EV) Use Over Time</t>
  </si>
  <si>
    <t>Allan Zhao, Erin Costigliolo, Laura Roberson, Eliese Ottinger, Lujin Zhao, Jamie Dunckley</t>
  </si>
  <si>
    <t>EVS36 Symposium</t>
  </si>
  <si>
    <t>Sacramento CA</t>
  </si>
  <si>
    <t>Scaling up electric vehicles in China and India for a cleaner and healthier future</t>
  </si>
  <si>
    <t>Johns Hopkins University</t>
  </si>
  <si>
    <t>Quantifying Electric Vehicle Mileage in the United States</t>
  </si>
  <si>
    <t>Lujin Zhao, Eliese Ottinger, Arthur Yip</t>
  </si>
  <si>
    <t>Enhancing Education with LLMs: Innovative Approaches in Engineering Pedagogy</t>
  </si>
  <si>
    <t>Ryan Watkins, Lorena Barba, Jason Torres</t>
  </si>
  <si>
    <t>Spring 2024 ASEE Middle Atlantic Section Conference, George Washington University</t>
  </si>
  <si>
    <t>Shanghai Workshop on Climate and China-U.S. Relations</t>
  </si>
  <si>
    <t>Fudan University &amp; UCSD</t>
  </si>
  <si>
    <t>The Heterogeneous Aggregate Valence Analysis (HAVAN) Modeling Framework: A Flexible Framework for Discrete Choice Modeling</t>
  </si>
  <si>
    <t>Connor Forsythe,
Cristian Arteaga</t>
  </si>
  <si>
    <t>Quant UX Conference</t>
  </si>
  <si>
    <t>Remote</t>
  </si>
  <si>
    <t>Modeling the Hidden Labor Costs of Autonomous Vehicle Taxi Services</t>
  </si>
  <si>
    <t>Leah Kaplan, 
Lola Nurullaeva</t>
  </si>
  <si>
    <t>Sacramento, CA</t>
  </si>
  <si>
    <t>The Rise of Chinese Leadership in the Plug-In Electric Vehicle Industry</t>
  </si>
  <si>
    <t>Industrial Strategy Impacts of Recent US Tariff Increases</t>
  </si>
  <si>
    <t>John Paul MacDuffie,
Susan Helper</t>
  </si>
  <si>
    <t>Leah Kaplan,  
Zoe Szajnfarber</t>
  </si>
  <si>
    <t>Technology Data and Policy Consortium</t>
  </si>
  <si>
    <t>Quantifying Plug-in Electric Vehicle Mileage and Resale Value</t>
  </si>
  <si>
    <t>Lujin Zhao, Eliese Ottinger, Arthur Yip, Laura Roberson, Saurav Pantha</t>
  </si>
  <si>
    <t>International Symposium on Sustainable Systems and Technologies</t>
  </si>
  <si>
    <t>Baltimore, MD</t>
  </si>
  <si>
    <t>Bridging Transportation Researchers (BTR) 6 Conference</t>
  </si>
  <si>
    <t>Advancing Open Science</t>
  </si>
  <si>
    <t>Brice Nichols and Andrew Rohne</t>
  </si>
  <si>
    <t>highlight</t>
  </si>
  <si>
    <t>outlet</t>
  </si>
  <si>
    <t>type</t>
  </si>
  <si>
    <t>post</t>
  </si>
  <si>
    <t>Politico</t>
  </si>
  <si>
    <t>national_press</t>
  </si>
  <si>
    <t>Quoted in article ["Your next car might come with a battery passport"](https://www.politico.com/newsletters/the-long-game/2024/08/13/passport-please-00173795)</t>
  </si>
  <si>
    <t>Voice of America</t>
  </si>
  <si>
    <t>Quoted in article ["China reaches new EV milestone in July"](https://www.voanews.com/a/china-reaches-new-ev-milestone-in-july-/7735304.html)</t>
  </si>
  <si>
    <t>New York Times</t>
  </si>
  <si>
    <t>Study featured in article ["Electric Cars Help the Climate. But Are They Good Value?"](https://www.nytimes.com/2024/07/29/climate/electric-cars-ev-battery-value.html)</t>
  </si>
  <si>
    <t>The World and stuff</t>
  </si>
  <si>
    <t>radio</t>
  </si>
  <si>
    <t>Hour-long podcast interview: ["China, Trade, and Green Energy"](https://open.spotify.com/episode/5uZRdzKqDSur1K3wpqb13z?si=B3u1lLdfRb6mrUFpInAJGg)</t>
  </si>
  <si>
    <t>Xataka</t>
  </si>
  <si>
    <t>international_press</t>
  </si>
  <si>
    <t>Quoted in article ["The EU and China have started a tariff war over Chinese electric cars. And Spain has a lot to lose"](https://www-xataka-com.translate.goog/empresas-y-economia/guerra-arancelaria-ue-china-no-ha-hecho-que-empezar-algunos-pueden-salir-mucho-mejor-parados-que-otros?_x_tr_sl=es&amp;_x_tr_tl=en&amp;_x_tr_hl=es&amp;_x_tr_pto=wapp)</t>
  </si>
  <si>
    <t>NPR Marketplace</t>
  </si>
  <si>
    <t>Featured in [radio segment on the US EV market](https://www.marketplace.org/2024/06/18/ev-sales-slowed-electric-vehicles-auto-tesla-cars/)</t>
  </si>
  <si>
    <t>Sustainability at the Frontier</t>
  </si>
  <si>
    <t>Study featured and quoted in article ["Do Electric Cars Depreciate Faster than Gas-Powered Cars?"](https://www.sustainabilityatthefrontier.com/p/electric-cars-depreciate-faster-gaspowered-cars)</t>
  </si>
  <si>
    <t>Wired</t>
  </si>
  <si>
    <t>Quoted in article ["Biden Is Trying to Buy EVs Time With New Tariffs on China. It Might Not Work"](https://www.wired.com/story/new-ev-china-tariffs-biden/)</t>
  </si>
  <si>
    <t>Quoted in article ["Xiaomi ha conseguido fabricar un coche masivamente en menos de tres años. Así es como lo ha conseguido"](https://www.xataka.com/movilidad/xiaomi-ha-conseguido-fabricar-coche-masivamente-tres-anos-asi-como-ha-conseguido)</t>
  </si>
  <si>
    <t>Washington Post</t>
  </si>
  <si>
    <t>Study featured and quoted in article ["You can now get a $7,500 upfront discount for buying an EV"](https://www.washingtonpost.com/climate-environment/2024/04/27/ev-tax-credit-discount/)</t>
  </si>
  <si>
    <t>Climatewire</t>
  </si>
  <si>
    <t>Study featured in article ["Want a used EV? Prices are rising."](https://subscriber.politicopro.com/article/eenews/2024/04/19/evs-are-starting-to-retain-their-resale-value-compared-to-gas-cars-study-00153216)</t>
  </si>
  <si>
    <t>Research referenced in article ["Lessons From a Decade of Philanthropy for Interdisciplinary Energy Research"](https://issues.org/sloan-philanthropy-interdisciplinary-energy-research-michelson-gee/)</t>
  </si>
  <si>
    <t>Quoted in article ["The future of driving is electric. Sort of."](https://subscriber.politicopro.com/article/eenews/2024/03/21/future-of-driving-is-electric-sort-of-00148137)</t>
  </si>
  <si>
    <t>Quoted in article ["Tesla’s Troubles Raise Questions About Its Invincibility"](https://www.nytimes.com/2024/03/18/business/tesla-elon-musk-troubles.html)</t>
  </si>
  <si>
    <t>GW Engineering</t>
  </si>
  <si>
    <t>university_press</t>
  </si>
  <si>
    <t>PhD student Leah Kaplan [wins first place](https://engineering.gwu.edu/gw-engineering-student-sprints-first-place-speed-thesis-competition) in the 2024 3 Minute Thesis competition at GWU</t>
  </si>
  <si>
    <t>Vox</t>
  </si>
  <si>
    <t>Quoted in article ["Why is Biden blocking the cheapest, most popular EVs in the world?"](https://www.vox.com/climate/2024/3/4/24087919/biden-tariff-chinese-ev-byd-battery-detroit)</t>
  </si>
  <si>
    <t>Business Insider</t>
  </si>
  <si>
    <t>Quoted in article ["Battery swapping is taking off in China — and it could help rescue the EV revolution in the US"](https://www.businessinsider.com/ev-battery-swapping-china-rescue-us-revolution-2024-2)</t>
  </si>
  <si>
    <t>Study featured in article ["Are You a Super Driver? Some States Want to Help You Go Electric."](https://www.nytimes.com/2024/01/17/climate/electric-vehicles-high-mileage-drivers.html)</t>
  </si>
  <si>
    <t>CNN</t>
  </si>
  <si>
    <t>Study featured in article ["New US rules on Chinese batteries could push up price of electric cars"](https://www.cnn.com/2023/12/04/business/china-ev-batteries-us-regulations-intl-hnk/index.html)</t>
  </si>
  <si>
    <t>Study featured in GW Engineering post ["Systems Engineering Team Reveals How Automated Vehicles Are Transforming Labor in Taxi Services"](https://engineering.gwu.edu/systems-engineering-team-reveals-how-automated-vehicles-are-transforming-labor-taxi-services)</t>
  </si>
  <si>
    <t>cleantechnica.com</t>
  </si>
  <si>
    <t>Study featured in article ["New Study Finds Electric Vehicles Are Driven Less Than Gas Cars"](https://cleantechnica.com/2023/11/13/new-study-finds-electric-vehicles-are-driven-less-than-gas-cars/)</t>
  </si>
  <si>
    <t>GW Today</t>
  </si>
  <si>
    <t>Study featured in article ["New Study Finds Electric Vehicles Are Driven Less Than Gas Cars"](https://gwtoday.gwu.edu/new-study-finds-electric-vehicles-are-driven-less-gas-cars)</t>
  </si>
  <si>
    <t>Study featured in article ["Electric Vehicles Might Not Yet Have Replaced as Much Car Mileage as Hoped"](https://www.scientificamerican.com/article/electric-vehicles-might-not-yet-have-replaced-as-much-car-mileage-as-hoped/)</t>
  </si>
  <si>
    <t>Study featured in article ["EVs are driven less than gas-powered models: study"](https://www.axios.com/2023/11/07/electric-vehicles-lower-mileage-gas-powered-models)</t>
  </si>
  <si>
    <t>Study featured in article ["EVs are driven less than gas cars. That’s an issue for climate policy."](https://subscriber.politicopro.com/article/eenews/2023/11/07/evs-are-driven-less-than-gas-cars-thats-an-issue-for-climate-policy-00125658)</t>
  </si>
  <si>
    <t>Watt's Up With That</t>
  </si>
  <si>
    <t>Study featured in article ["Study: EV’s are Cars for People Who Don’t Need to Drive (as much)"](https://wattsupwiththat.com/2023/11/06/evs-are-cars-for-people-who-dont-need-to-drive-as-much/)</t>
  </si>
  <si>
    <t>Study featured in article ["Three questions for Gavin Newsom’s climate guru"](https://www.politico.com/newsletters/california-climate/2023/11/06/three-questions-for-gavin-newsoms-climate-guru-00125677)</t>
  </si>
  <si>
    <t>Study featured in article ["Treasury lays out rules for instant EV rebate"](https://www.politico.com/news/2023/10/06/treasury-biden-electric-vehicle-rebate-00120253)</t>
  </si>
  <si>
    <t>U.S. Dept of Treasury</t>
  </si>
  <si>
    <t>government</t>
  </si>
  <si>
    <t>Study featured in U.S. Department of the Treasury Press Release: ["IRS Release Guidance to Expand Access to Clean Vehicle Tax Credits, Help Car Dealers Grow Businesses"](https://home.treasury.gov/news/press-releases/jy1783)</t>
  </si>
  <si>
    <t>Study featured in article ["Car buyers can get their EV tax credits up front at the dealership starting in January"](https://www.cnn.com/2023/10/06/business/ev-tax-credit-up-front-climate/index.html)</t>
  </si>
  <si>
    <t>Forbes</t>
  </si>
  <si>
    <t>Study featured in article ["Electric Vehicle Buyers Can Soon Get Rebates At The Dealer"](https://www.forbes.com/sites/rinatorchinsky/2023/10/06/electric-vehicle-buyers-can-soon-get-rebates-at-the-dealer/?sh=fc2fe4870452)</t>
  </si>
  <si>
    <t>Study featured in article ["Will an instant tax credit spark more EV sales?"](https://www.politico.com/newsletters/power-switch/2023/10/06/will-an-instant-tax-credit-spark-more-ev-sales-00120373)</t>
  </si>
  <si>
    <t>E&amp;E News</t>
  </si>
  <si>
    <t>Study featured in article ["Treasury lays out rules for instant EV rebate"](https://www.eenews.net/articles/treasury-lays-out-rules-for-instant-ev-rebate/)</t>
  </si>
  <si>
    <t>Fox 5 DC</t>
  </si>
  <si>
    <t>tv</t>
  </si>
  <si>
    <t>Helveston interviewed on Fox 5 DC TV story ["Demand for charging stations rises across DMV as more EVs hit the road"](https://www.fox5dc.com/news/demand-for-charging-stations-rises-across-dmv-as-more-evs-hit-the-road)</t>
  </si>
  <si>
    <t>Boston Globe</t>
  </si>
  <si>
    <t>Quoted in article ["Why killing the Chevy Bolt was the right move for GM — but it still hurts"](https://www.bostonglobe.com/2023/04/26/business/why-killing-chevy-bolt-was-right-move-gm-it-still-hurts/)</t>
  </si>
  <si>
    <t>Hearst TV</t>
  </si>
  <si>
    <t>Helveston interviewed on Hearst TV on EPA's new vehicle pollution standards.</t>
  </si>
  <si>
    <t>Chinese Academy of Sciences</t>
  </si>
  <si>
    <t>Study featured in article ["全球化生产有望降低太阳能成本"](https://www.cas.cn/kj/202211/t20221111_4854489.shtml)</t>
  </si>
  <si>
    <t>GW Hatchet</t>
  </si>
  <si>
    <t>Study featured in article ["Solar panel costs drop with global trading, SEAS professor finds"](https://www.gwhatchet.com/2022/11/07/solar-panel-costs-drop-with-global-trading-seas-professor-finds/)</t>
  </si>
  <si>
    <t>Study featured in article ["How Biden’s made-in-America solar strategy may backfire"](https://www.eenews.net/articles/how-bidens-made-in-america-solar-strategy-may-backfire/)</t>
  </si>
  <si>
    <t>Bloomberg</t>
  </si>
  <si>
    <t>Study featured in article ["Tariffs Threaten to Undermine Global Shift to Clean Energy"](https://www.bloomberg.com/news/articles/2022-10-26/tariffs-threaten-to-undermine-global-shift-to-clean-energy)</t>
  </si>
  <si>
    <t>PV Magazine</t>
  </si>
  <si>
    <t>Study featured in article ["Globalized supply chains saved $67 billion in solar panel production costs"](https://www.pv-magazine.com/2022/10/27/globalized-supply-chains-saved-67-billion-in-solar-panel-production-costs/)</t>
  </si>
  <si>
    <t>Times of San Diego</t>
  </si>
  <si>
    <t>Study featured in article ["Open Trade Saves Billions Worldwide on Solar Panels, Study Involving UCSD Finds"](https://timesofsandiego.com/tech/2022/10/26/open-trade-saves-billions-worldwide-on-solar-panels-study-involving-ucsd-finds/)</t>
  </si>
  <si>
    <t>Study featured in article ["Global Collaboration Saved Countries $67 Billion in Solar Panel Production Costs"](https://gwtoday.gwu.edu/global-collaboration-saved-countries-67-billion-solar-panel-production-costs)</t>
  </si>
  <si>
    <t>UCSD News</t>
  </si>
  <si>
    <t>Study featured in article ["Open Trade Saves Countries Billions in Solar Panel Production"](https://jacobsschool.ucsd.edu/news/release/3523)</t>
  </si>
  <si>
    <t>Stonybrook U News</t>
  </si>
  <si>
    <t>Study featured in article ["Global Collaboration is Key to Saving Billions for Solar Module Production"](https://news.stonybrook.edu/newsroom/global-collaboration-is-key-to-saving-billions-for-solar-module-production/)</t>
  </si>
  <si>
    <t>Nasdaq</t>
  </si>
  <si>
    <t>Study featured in article ["A 'Tale of Two Cities' and the Energy Crisis"](https://www.nasdaq.com/articles/a-tale-of-two-cities-and-the-energy-crisis)</t>
  </si>
  <si>
    <t>Study featured in article ["Inflation Reduction Act seeks to jumpstart electric vehicle market: Substantial tax credits and other incentives for renewable energy and EVs"](https://www.lexology.com/library/detail.aspx?g=be3007b9-4ffa-4410-a164-a9d34a5c7566)</t>
  </si>
  <si>
    <t>Time</t>
  </si>
  <si>
    <t>Quoted in ["What Experts Say About How Valuable The Inflation Reduction Act's Green Subsidies Will Be"](https://time.com/6205567/inflation-reduction-act-green-subsidies/)</t>
  </si>
  <si>
    <t>NPR</t>
  </si>
  <si>
    <t>Featured in ["All Things Considered" segment](https://www.npr.org/player/embed/1116769983/1117015512)</t>
  </si>
  <si>
    <t>Quoted in article ["3 ways the Inflation Reduction Act would pay you to help fight climate change"](https://www.npr.org/2022/08/11/1116769983/3-ways-the-inflation-reduction-act-would-pay-you-to-help-fight-climate-change)</t>
  </si>
  <si>
    <t>Green Car Reports</t>
  </si>
  <si>
    <t>Study featured in article ["EV tax credit extension with $7,500 point-of-sale rebate, $4,000 for used EVs could pass Senate soon"](https://www.greencarreports.com/news/1136661_ev-tax-credit-extension-7500-point-of-sale-rebate-4000-used-evs)</t>
  </si>
  <si>
    <t>Study feature article: ["Study: Point-of-sale EV rebates buyers prefer could have saved $2 billion vs. tax credits"](https://www.greencarreports.com/news/1136450_study-buyers-prefer-point-of-sale-ev-rebate-vs-ev-tax-credit)</t>
  </si>
  <si>
    <t>dotLA</t>
  </si>
  <si>
    <t>Study featured in [Electric Vehicle Tax Rebates Favor the Wealthy](https://dot.la/electric-vehicle-rebates-benefit-wealthy-2657675167.html)</t>
  </si>
  <si>
    <t>The Drive</t>
  </si>
  <si>
    <t>Study featured in [The Drive](https://www.thedrive.com/news/us-government-couldve-saved-2b-by-giving-ev-buyers-cash-instead-of-tax-credit-study)</t>
  </si>
  <si>
    <t>Quoted in [The Manchin show: What's in, what's out?](https://www.politico.com/newsletters/power-switch/2022/07/07/the-manchin-show-whats-in-whats-out-00044417)</t>
  </si>
  <si>
    <t>CGTN</t>
  </si>
  <si>
    <t>Long form interview with CGTN Full Frame: [Going Green](https://www.cgtnnow.com/videos/full-frame-going-green)</t>
  </si>
  <si>
    <t>EMSE Student Eliese Ottinger [highlighted in GW Today article](https://gwtoday.gwu.edu/student-research-shines-seas-rd-showcase) on SEAS research showcase</t>
  </si>
  <si>
    <t>Reuters</t>
  </si>
  <si>
    <t>Quoted in [Inside China's electric drive for swappable car batteries](https://www.reuters.com/business/autos-transportation/inside-chinas-electric-drive-swappable-car-batteries-2022-03-24/)</t>
  </si>
  <si>
    <t>Intelligencer</t>
  </si>
  <si>
    <t>Quoted in [To Fight Climate Change, Bring Back State Planning](https://nymag.com/intelligencer/2022/01/to-fight-climate-change-bring-back-state-planning.html)</t>
  </si>
  <si>
    <t>RWeekly</t>
  </si>
  <si>
    <t>Blog post on simulating the Squid Game bridge scene [showcased on the RWeekly podcast](https://rweekly.fireside.fm/63).</t>
  </si>
  <si>
    <t>Quoted in ["The Competition Conundrum"](https://www.thewirechina.com/2021/05/30/the-competition-conundrum/)</t>
  </si>
  <si>
    <t>CNN Climate Town Hall</t>
  </si>
  <si>
    <t>Asked question to U.S. Secretary of State John Kerry ([Watch](http://u.pc.cd/YTlctalK))</t>
  </si>
  <si>
    <t>Market Scale</t>
  </si>
  <si>
    <t>Interview: [Can Geely Join the Ranks of Luxury EV Brands?](https://marketscale.com/industries/energy/can-geely-join-the-ranks-of-luxury-ev-brands/)</t>
  </si>
  <si>
    <t>Associated Press</t>
  </si>
  <si>
    <t>TV interview: ["China's emissions drop amid coronavirus outbreak."](https://www.youtube.com/watch?v=cfTwx6n0Pk4)</t>
  </si>
  <si>
    <t>Quoted in ["This Is A Big Reason Electric Cars Still Aren’t Popular With Americans: Study"](https://www.forbes.com/sites/brookecrothers/2020/07/25/one-huge-reason-electric-cars-still-arent-popular-with-americans-with-the-exception-of-the-tesla-model-3/#55c48a4955c1)</t>
  </si>
  <si>
    <t>NPR Climate Cast</t>
  </si>
  <si>
    <t>Quoted in ["Trade dispute with China could slow transition to low-carbon power"](https://www.mprnews.org/episode/2019/11/21/trade-dispute-with-china-could-slow-transition-to-lowcarbon-power)</t>
  </si>
  <si>
    <t>Xinhua News</t>
  </si>
  <si>
    <t>Quoted in ["美能源专家呼吁美加强与中国合作以实现减排目标"](http://www.xinhuanet.com/world/2019-11/15/c_1125235667.htm)</t>
  </si>
  <si>
    <t>Interview, ["Collaboration with China Is Critical to Achieving Climate Goals"](https://gwtoday.gwu.edu/collaboration-china-critical-achieving-climate-goals)</t>
  </si>
  <si>
    <t>Physics World</t>
  </si>
  <si>
    <t>Interview, ["US motorists prepared to pay more for fuel to lower emissions"](https://physicsworld.com/a/us-motorists-prepared-to-pay-more-for-fuel-to-lower-emissions/)</t>
  </si>
  <si>
    <t>CMU Engineering</t>
  </si>
  <si>
    <t>Interivew, ["What do American and Chinese consumers want in an electric vehicle?"](https://soundcloud.com/cmu-engineering/what-do-american-and-chinese-consumers-want-in-an-electric-vehicle)</t>
  </si>
  <si>
    <t>submitted</t>
  </si>
  <si>
    <t>status</t>
  </si>
  <si>
    <t>id</t>
  </si>
  <si>
    <t>period</t>
  </si>
  <si>
    <t>budget_total</t>
  </si>
  <si>
    <t>budget_jph</t>
  </si>
  <si>
    <t>budget_managed</t>
  </si>
  <si>
    <t>awarded</t>
  </si>
  <si>
    <t>affiliated</t>
  </si>
  <si>
    <t>external</t>
  </si>
  <si>
    <t>pi</t>
  </si>
  <si>
    <t>copi</t>
  </si>
  <si>
    <t>sponsor</t>
  </si>
  <si>
    <t>collaborators</t>
  </si>
  <si>
    <t>Jul. 2019 - Jun. 2020</t>
  </si>
  <si>
    <t>Duke Energy Innovation</t>
  </si>
  <si>
    <t>Spatial and temporal mapping of electric vehicle powertrain technology trajectories</t>
  </si>
  <si>
    <t>Jul. 2020 - Jun. 2023</t>
  </si>
  <si>
    <t>NSF SciSIP-Sci of Sci Innov Policy</t>
  </si>
  <si>
    <t>EAGER: Measuring the Effects of Innovation Policies on Emerging Technology Supply &amp; Diffusion</t>
  </si>
  <si>
    <t>NSF SciSIP BIO</t>
  </si>
  <si>
    <t>Estimating the Effects of Innovation Policies on Emerging Technology Supply &amp; Diffusion</t>
  </si>
  <si>
    <t>Jul. 2021 - Jun. 2024</t>
  </si>
  <si>
    <t>NSF EnvS-Environmtl Sustainability</t>
  </si>
  <si>
    <t>Sustainability Implications of Alternative Fuel Vehicle Diffusion in the Used Vehicle Market</t>
  </si>
  <si>
    <t>Sergey Naumov</t>
  </si>
  <si>
    <t>US Department of Energy, Vehicle Technology Offices</t>
  </si>
  <si>
    <t>Jul. 2022 - Jun. 2025</t>
  </si>
  <si>
    <t>NSF Science of Science DDRIG</t>
  </si>
  <si>
    <t>The Effect of Innovation Policies on Environmental Technology Supply and Diffusion: The Case of Plug-in Electric Vehicles</t>
  </si>
  <si>
    <t>NSF CIS-Civil Infrastructure Syst</t>
  </si>
  <si>
    <t>Collaborative Research: Equity Focused Assessment of Shared Automated Vehicle Deployment</t>
  </si>
  <si>
    <t>Corey Harper</t>
  </si>
  <si>
    <t>Jan. 2022 - Dec. 2022</t>
  </si>
  <si>
    <t>MDOT</t>
  </si>
  <si>
    <t>Equity-Based Metrics for Connected and Automated Vehicle (CAV) Deployments</t>
  </si>
  <si>
    <t>Tom Jacobs, David Tomblin, Leah Kaplan, Mahmud Farooque, Roddy Moscoso, Kaveh Faroki</t>
  </si>
  <si>
    <t>Collaborative Research: A Synergized Urban-Rural Development of Energy and Transportation Systems for Enhancing Regional Sustainability, Connectivity, and Equity</t>
  </si>
  <si>
    <t>Zhengtian Xu, Payman Dehghanian, Robert Orttung</t>
  </si>
  <si>
    <t>Collaborative Research: Environmental Impacts of Durable Goods with Secondary Markets: The Case of Electric Vehicles</t>
  </si>
  <si>
    <t>Jun. 2023 - Oct. 2023</t>
  </si>
  <si>
    <t>National Bureau of Economic Research</t>
  </si>
  <si>
    <t>https://www.nber.org/programs-projects/projects-and-centers/transportation-economics-21st-century/transportation-economics-21st-century-research-projects</t>
  </si>
  <si>
    <t>Going the Distance: Quantifying Heterogeneity in Electric Vehicle Mileage in the United States</t>
  </si>
  <si>
    <t>Jan. 2024 - Jun. 2026</t>
  </si>
  <si>
    <t>DOE Wind Energy Technologies Office (WETO)</t>
  </si>
  <si>
    <t>https://www.energy.gov/eere/wind/wind-energy-technologies-office</t>
  </si>
  <si>
    <t>Winds of Change: Advancing Deployment of Distributed Wind through a Stakeholder-Informed Streamlined Permitting Framework</t>
  </si>
  <si>
    <t>Jeremy Firestone (UD), Margaret Taylor (LBNL), Sydny Fujita (LBNL), Suzanne McDonald (NREL), Matilda Kreider (NREL)</t>
  </si>
  <si>
    <t>Jul. 2024 - Jun. 2027</t>
  </si>
  <si>
    <t>CAREER: Sustainability Impacts of the Resale Market for Plug-in Electric Vehicles</t>
  </si>
  <si>
    <t>DOE Joint Office of Energy and Transportation</t>
  </si>
  <si>
    <t>Vehicle-to-X Charging and Equity-Oriented EV Car Share (V2X-EVShare): Assessing the Opportunities</t>
  </si>
  <si>
    <t>Margaret Taylor (LBNL), Forth Mobility, Powerline</t>
  </si>
  <si>
    <t>Jun. 2024 - May. 2025</t>
  </si>
  <si>
    <t>NSF-NIST Institute for Trustworthy AI in Law and Society (TRAILS) 2024 Seed Funding</t>
  </si>
  <si>
    <t>AI in Survey Research: Innovations in Design and Detection for Enhanced Research Integrity</t>
  </si>
  <si>
    <t>Caitlin Grady, Alicia Cooperman, Emmanuel Teitelbaum</t>
  </si>
  <si>
    <t>GWU University Facilitating Fund</t>
  </si>
  <si>
    <t>https://research.gwu.edu/university-facilitating-fund</t>
  </si>
  <si>
    <t>Spatial and Temporal Mapping of Technological Progress In Electric Vehicle Powertrain Technologies</t>
  </si>
  <si>
    <t>Jul. 2019 - Jun. 2021</t>
  </si>
  <si>
    <t>Toyota Mobility Foundation</t>
  </si>
  <si>
    <t>https://toyotamobilityfoundation.org/en/research/gwu.html</t>
  </si>
  <si>
    <t>Evolvability for Mobility Systems</t>
  </si>
  <si>
    <t>Zoe Szajnfarber (PI) and David Broniatowski (Co-PI)</t>
  </si>
  <si>
    <t>Aug. 2020 - Jul. 2023</t>
  </si>
  <si>
    <t>National Science Foundation Graduate Research Fellowship (awarded to Ph.D. student Leah Kaplan)</t>
  </si>
  <si>
    <t>National Science Foundation Graduate Research Fellowship</t>
  </si>
  <si>
    <t>Planning for Technological Disruptions: The Case of Autonomous Vehicles</t>
  </si>
  <si>
    <t>Jul. 2021 - Jun. 2022</t>
  </si>
  <si>
    <t>New Venture Fund Public Interest Technology University Network</t>
  </si>
  <si>
    <t>https://www.newamerica.org/pit/blog/member-spotlight-george-washington-university/</t>
  </si>
  <si>
    <t>GW Coders Scholarship &amp; Internship Program: Building Coding Capacity for Public Interest Technology Engagement</t>
  </si>
  <si>
    <t>Ryan Watkinds (Co-PI)</t>
  </si>
  <si>
    <t>Measuring Consumer Preferences for Used Alternative Fuel Vehicles</t>
  </si>
  <si>
    <t>Evolvability Analysis Framework Dashboard Development</t>
  </si>
  <si>
    <t>Zoe Szajnfarber (Co-PI) and David Broniatowski (Co-PI)</t>
  </si>
  <si>
    <t>Sep. 2021 - Aug. 2022</t>
  </si>
  <si>
    <t>Alfred P. Sloan Foundation Energy &amp; Environment Program</t>
  </si>
  <si>
    <t>https://sloan.org/grant-detail/G-2021-16936</t>
  </si>
  <si>
    <t>Identifying More Efficient and Equitable Plug-In Electric Vehicle Financial Incentives Through Consumer-Centric Design</t>
  </si>
  <si>
    <t>Jul. 2022 - Jun. 2023</t>
  </si>
  <si>
    <t>Electric Power Research Institute</t>
  </si>
  <si>
    <t>Investigation of used electric vehicle movements, sales and availability</t>
  </si>
  <si>
    <t>Oct. 2023 - Jun. 2026</t>
  </si>
  <si>
    <t>DOE Vehicle Technologies Office (VTO)</t>
  </si>
  <si>
    <t>https://www.energy.gov/eere/vehicles/articles/fiscal-year-2022-vto-program-wide-funding-opportunity-selections</t>
  </si>
  <si>
    <t>Quantifying New and Used Plug-in Electric Vehicle Market Dynamics in Disadvantaged Communities</t>
  </si>
  <si>
    <t>Dong-Yeon (D-Y) Lee (NREL), Jeff Gonder (NREL)</t>
  </si>
  <si>
    <t xml:space="preserve">Sep. 2023 - Aug. 2026 </t>
  </si>
  <si>
    <t>https://sloan.org/grant-detail/G-2023-20976</t>
  </si>
  <si>
    <t>Quantifying the Benefits and Constraints of Plug-In Electric Vehicle Smart Charging Adoption</t>
  </si>
  <si>
    <t>Brian Tarroja (UCI, Co-PI), Eric Hittinger (RIT), Alan Jenn (UC Davis)</t>
  </si>
  <si>
    <t>Jul. 2024 - Jun. 2025</t>
  </si>
  <si>
    <t xml:space="preserve">Adapting Course Materials for Equity, GW Libraries &amp; Academic Innovation (LAI) </t>
  </si>
  <si>
    <t>https://library.gwu.edu/adapting-course-materials-for-equity-grant</t>
  </si>
  <si>
    <t>Textbook for Open Source Course: Exploratory Data Analysis</t>
  </si>
  <si>
    <t>co-pi</t>
  </si>
  <si>
    <t>total</t>
  </si>
  <si>
    <t>rate_success</t>
  </si>
  <si>
    <t>rate_reject</t>
  </si>
  <si>
    <t>rejected</t>
  </si>
  <si>
    <t>description</t>
  </si>
  <si>
    <t>research</t>
  </si>
  <si>
    <t>Best paper award, Bridging Transportation Researchers (BTR) #6 Conference</t>
  </si>
  <si>
    <t>Representative for Shanghai Workshop on Climate and China-U.S. Relations, organized by Fudan-UCSD Center on Contemporary China (Shanghai, China)</t>
  </si>
  <si>
    <t>student</t>
  </si>
  <si>
    <t>PhD student Leah Kaplan awarded First Prize for GWU 3 Minute Thesis competition</t>
  </si>
  <si>
    <t>https://engineering.gwu.edu/gw-engineering-student-sprints-first-place-speed-thesis-competition</t>
  </si>
  <si>
    <t>teaching</t>
  </si>
  <si>
    <t>SEAS Outstanding Early Career Teaching Award</t>
  </si>
  <si>
    <t>https://www.seas.gwu.edu/seas-excellence-awards-teaching-research-and-service</t>
  </si>
  <si>
    <t>service</t>
  </si>
  <si>
    <t>IOP Outstanding Reviewer Award</t>
  </si>
  <si>
    <t>https://publishingsupport.iopscience.iop.org/questions/reviewer-awards/</t>
  </si>
  <si>
    <t>Awarded an "IOP Trusted Reviewer" status for a 5/5 rated review for _Environmental Research Letters_</t>
  </si>
  <si>
    <t>Best poster award, Integrated Assessment Modeling Consortium</t>
  </si>
  <si>
    <t>PhD student Laura Roberson awarded First Prize for Studies in Engineering and Data Analysis at the GW Research Showcase</t>
  </si>
  <si>
    <t>PhD student Laura Roberson awarded Sustainability and Resiliency Prize at the GW Research Showcase</t>
  </si>
  <si>
    <t>EMSE Senior design team with Eliese Ottinger wins best paper at the IEEE Systems and Information Engineering Design Symposium (SIEDS)</t>
  </si>
  <si>
    <t>https://emse.engineering.gwu.edu/gw-engineering-students-help-wmata-save-lives</t>
  </si>
  <si>
    <t>PhD student Leah Kaplan awarded NSF Graduate Student Research Fellowship ($147,000)</t>
  </si>
  <si>
    <t>Finalist, Coase Dissertation Award, [Society for Institutional \&amp; Organizational Economics](https://www.sioe.org/)</t>
  </si>
  <si>
    <t>Best Dissertation Award, [Industry Studies Association](http://www.industrystudies.org/)</t>
  </si>
  <si>
    <t>Best Paper in Innovation &amp; Entrepreneurship Research, [Industry Studies Association](http://www.industrystudies.org/)</t>
  </si>
  <si>
    <t>[NSF East Asia Pacific Summer Institute Fellowship](https://new.nsf.gov/funding/opportunities/east-asia-pacific-summer-institutes-us-graduate/5284/nsf13-593) ($5,000)</t>
  </si>
  <si>
    <t>Herbert Toor Award for Best Engineering and Public Policy Qualifying Examination Paper</t>
  </si>
  <si>
    <t>Eagle Scout Award, BSA Troop 11, Valrico, FL, July 7, 2002</t>
  </si>
  <si>
    <t>scholarship</t>
  </si>
  <si>
    <t>[Energy Innovation Policy and Management Scholar](https://itif.org/itif-energy-innovation-boot-camp-early-career-scholars), Innovation and Information Technology Foundation</t>
  </si>
  <si>
    <t>[Link Energy Foundation Fellowship](http://www.linkenergy.org/)</t>
  </si>
  <si>
    <t>[NSEP Boren Fellowship](http://www.borenawards.org/) (Award Declined)</t>
  </si>
  <si>
    <t>Taiwan Huayu Mandarin Enrichment Scholarship</t>
  </si>
  <si>
    <t>Department of State [Critical Language Scholarship](http://www.clscholarship.org/) for Mandarin Chinese</t>
  </si>
  <si>
    <t>[Horton Honors Scholarship](http://www.univhonors.vt.edu/html/scholarships_Horton.html) for 6-month independent study abroad in China</t>
  </si>
  <si>
    <t>Eleanor Davenport Leadership Scholarship, Virginia Tech: Full tuition and Fees (2005 - 2009)</t>
  </si>
  <si>
    <t>semester</t>
  </si>
  <si>
    <t>name</t>
  </si>
  <si>
    <t>level</t>
  </si>
  <si>
    <t>responses</t>
  </si>
  <si>
    <t>enrolled</t>
  </si>
  <si>
    <t>inst_mean</t>
  </si>
  <si>
    <t>dept_mean</t>
  </si>
  <si>
    <t>instructor</t>
  </si>
  <si>
    <t>S19</t>
  </si>
  <si>
    <t>EMSE 6035</t>
  </si>
  <si>
    <t>Marketing Analytics for Design Decisions</t>
  </si>
  <si>
    <t>Grad</t>
  </si>
  <si>
    <t>F19</t>
  </si>
  <si>
    <t>EMSE 6574</t>
  </si>
  <si>
    <t>Intro. to Programming for Analytics</t>
  </si>
  <si>
    <t>Ugrad</t>
  </si>
  <si>
    <t>S20</t>
  </si>
  <si>
    <t>EMSE 4197</t>
  </si>
  <si>
    <t>Exploratory Data Analysis</t>
  </si>
  <si>
    <t>F20</t>
  </si>
  <si>
    <t>EMSE 4574</t>
  </si>
  <si>
    <t>S21</t>
  </si>
  <si>
    <t>EMSE 4575</t>
  </si>
  <si>
    <t>F21</t>
  </si>
  <si>
    <t>S22</t>
  </si>
  <si>
    <t>EMSE 4571 / 6571</t>
  </si>
  <si>
    <t>Mixed</t>
  </si>
  <si>
    <t>F22</t>
  </si>
  <si>
    <t>EMSE 4572 / 6572</t>
  </si>
  <si>
    <t>S23</t>
  </si>
  <si>
    <t>F23</t>
  </si>
  <si>
    <t>S24</t>
  </si>
  <si>
    <t>F24</t>
  </si>
  <si>
    <t>lecture</t>
  </si>
  <si>
    <t>19711: Global Competitiveness: Firms, Nations, and Technological Change, Carnegie Mellon University</t>
  </si>
  <si>
    <t>Penalty and Barrier Functions</t>
  </si>
  <si>
    <t>24785: Engineering Optimization, Carnegie Mellon University</t>
  </si>
  <si>
    <t>Conjoint Analysis and Discrete Choice Modeling</t>
  </si>
  <si>
    <t>19702: Quantitative Methods for Policy Analysis, Carnegie Mellon University</t>
  </si>
  <si>
    <t>Emerging Automotive Trends: Chinese, Electric, and Shared</t>
  </si>
  <si>
    <t>PL851: Sustainable Energy Business Models And Policies, Boston University</t>
  </si>
  <si>
    <t>Vehicle Electrification: Market Trends, Policy, and Business Models</t>
  </si>
  <si>
    <t>UA 510: Sustainable Energy Planning, Boston University</t>
  </si>
  <si>
    <t>Preferences at the Pump: Are Consumers Willing to Pay for Low-Carbon Fuels?</t>
  </si>
  <si>
    <t>EMSE 1001:  Introduction to Systems Engineering</t>
  </si>
  <si>
    <t>EMSE 1001: Introduction to Systems Engineering, George Washington University</t>
  </si>
  <si>
    <t>Research overview</t>
  </si>
  <si>
    <t>APSC 1001: Guest Lecture</t>
  </si>
  <si>
    <t>seminar</t>
  </si>
  <si>
    <t>Global Education Connection</t>
  </si>
  <si>
    <t>R Shiny Apps</t>
  </si>
  <si>
    <t>GW Coders</t>
  </si>
  <si>
    <t>https://youtu.be/28oKINmXgzQ?si=IUxrQkzlB5XYQ0ve</t>
  </si>
  <si>
    <t>Tidyverse for R</t>
  </si>
  <si>
    <t>https://youtu.be/Tw6VjWs0Qr0?si=progW-v8LuiyNm4e</t>
  </si>
  <si>
    <t>Introduction to RMarkdown</t>
  </si>
  <si>
    <t>https://youtu.be/CGT3McFITF4?si=B-4VPLxM07uVvYjJ</t>
  </si>
  <si>
    <t>Using formr to make R-powered surveys</t>
  </si>
  <si>
    <t>https://youtu.be/Hjosc_NQ3t0?si=FhNtZ70CLbBVe2CU</t>
  </si>
  <si>
    <t>Static websites in R</t>
  </si>
  <si>
    <t>https://youtu.be/6BBqUuXEP04?si=6YLNgOBsUxsBf5lr</t>
  </si>
  <si>
    <t>Apache Arrow in R</t>
  </si>
  <si>
    <t>https://youtu.be/659xQD516iw?si=PcY7HlgFlcnZ-PU0</t>
  </si>
  <si>
    <t>Rendering templated PDFs with Quarto</t>
  </si>
  <si>
    <t>https://youtu.be/rQS2OGuFMUk?si=Y47rA275D1jgVopN</t>
  </si>
  <si>
    <t>Automating your CV with Googlesheets and Quarto</t>
  </si>
  <si>
    <t>https://youtu.be/eFpJeAxQ80c?si=l4iuSwBPWC82Xu-T</t>
  </si>
  <si>
    <t>Using Marketing Analytics to Measure Consumer Preferences and Inform Policy</t>
  </si>
  <si>
    <t>Masterclass seminar for GWU SEED Event</t>
  </si>
  <si>
    <t>workshop</t>
  </si>
  <si>
    <t>An Introduction to Effective Storytelling and Data Visualization</t>
  </si>
  <si>
    <t>Systems Engineering Department, U.S. Military Academy</t>
  </si>
  <si>
    <t>West Point, NY</t>
  </si>
  <si>
    <t>https://jhelvy.github.io/stories-with-data/</t>
  </si>
  <si>
    <t>NRT workshop content on storytelling &amp; data visualization</t>
  </si>
  <si>
    <t>GWU DTAIS</t>
  </si>
  <si>
    <t>https://jhelvy.github.io/dtais-dataviz/</t>
  </si>
  <si>
    <t>An Open Source Framework for Choice Based Conjoint Experiments in R</t>
  </si>
  <si>
    <t>https://jhelvy.github.io/2023-qux-conf-conjoint/</t>
  </si>
  <si>
    <t>Workshops for Ukraine</t>
  </si>
  <si>
    <t>Coding with AI Workshop</t>
  </si>
  <si>
    <t>Ryan Watkins, Justine Manning, Jason Torres</t>
  </si>
  <si>
    <t>complete</t>
  </si>
  <si>
    <t>institution</t>
  </si>
  <si>
    <t>date_start</t>
  </si>
  <si>
    <t>date_stop</t>
  </si>
  <si>
    <t>defense_date</t>
  </si>
  <si>
    <t>chair</t>
  </si>
  <si>
    <t>employment</t>
  </si>
  <si>
    <t>notes</t>
  </si>
  <si>
    <t>phd</t>
  </si>
  <si>
    <t>Zain Hoda</t>
  </si>
  <si>
    <t>George Washington University</t>
  </si>
  <si>
    <t>May 2028</t>
  </si>
  <si>
    <t>John Paul Helveston</t>
  </si>
  <si>
    <t>Assessing vehicle ownership and EV adoption barriers in disadvantaged communities</t>
  </si>
  <si>
    <t>Pingfan Hu</t>
  </si>
  <si>
    <t>May 2027</t>
  </si>
  <si>
    <t>Measuring preferences for EV smart charging and integrating them into grid simulation models.</t>
  </si>
  <si>
    <t>Michael Rossetti</t>
  </si>
  <si>
    <t>Machine Learning Techniques for Text Analysis</t>
  </si>
  <si>
    <t>Dec 2024</t>
  </si>
  <si>
    <t>A Path to Sustainable Transportation: Essays on Transit Adoption and Electric Vehicle Usage and Supply Patterns in the U.S.</t>
  </si>
  <si>
    <t>2024</t>
  </si>
  <si>
    <t>AI Behind the Wheel: Work, Economics, and Preferences in the Era of Autonomous Vehicles</t>
  </si>
  <si>
    <t>Accelerating Electric Vehicle Adoption in the United States: The Impact of Experience, Knowledge, and Financial Incentives</t>
  </si>
  <si>
    <t>Senior Powertrain Strategy Specialist at Volkswagen of America, Inc. (2014 - Present)</t>
  </si>
  <si>
    <t>ms</t>
  </si>
  <si>
    <t>Eliese Ottinger</t>
  </si>
  <si>
    <t>Saurav Pantha</t>
  </si>
  <si>
    <t>2021</t>
  </si>
  <si>
    <t>ug</t>
  </si>
  <si>
    <t>Lola Nurullaeva</t>
  </si>
  <si>
    <t>Present</t>
  </si>
  <si>
    <t>2023</t>
  </si>
  <si>
    <t>Kazi Ashrafi</t>
  </si>
  <si>
    <t>Jennifer Kim</t>
  </si>
  <si>
    <t>TA for EMSE 4571</t>
  </si>
  <si>
    <t>Michael O'Keefe</t>
  </si>
  <si>
    <t>2022</t>
  </si>
  <si>
    <t>TA for EMSE 4572</t>
  </si>
  <si>
    <t>Helena Rowe</t>
  </si>
  <si>
    <t>hs</t>
  </si>
  <si>
    <t>Charles Melchior-Fisher</t>
  </si>
  <si>
    <t>School Without Walls</t>
  </si>
  <si>
    <t>2020</t>
  </si>
  <si>
    <t>Senior Project: Electric Vehicles</t>
  </si>
  <si>
    <t>committee</t>
  </si>
  <si>
    <t>Lydia Gleaves</t>
  </si>
  <si>
    <t>David Broniatowski</t>
  </si>
  <si>
    <t xml:space="preserve">Suparna Mukherjee
</t>
  </si>
  <si>
    <t>Zoe Szajnfarber</t>
  </si>
  <si>
    <t>Dian Hu</t>
  </si>
  <si>
    <t>Rapidly Testing Policymakers' Assumptions Using Social Media: A Systematic Approach Applied to Public Health</t>
  </si>
  <si>
    <t>Xiaoying Yang</t>
  </si>
  <si>
    <t>Arun Malik</t>
  </si>
  <si>
    <t>Essays on Transportation and Environmental Regulations: EV incentives, fuel standards and air quality, and bike share substitution with transit</t>
  </si>
  <si>
    <t>Vikram Rao</t>
  </si>
  <si>
    <t>Royce Francis</t>
  </si>
  <si>
    <t>Investigation of Decision Processes in Chemical Substitution Decision Making</t>
  </si>
  <si>
    <t>Ilaria Mazzocco</t>
  </si>
  <si>
    <t>School of Advanced International Studies, Johns Hopkins University</t>
  </si>
  <si>
    <t>Carla Freeman</t>
  </si>
  <si>
    <t>Electric Dreams:  Industrial Policy, New Energy Vehicles, and the Persistent Role of Local Government in China</t>
  </si>
  <si>
    <t>dates</t>
  </si>
  <si>
    <t>activity</t>
  </si>
  <si>
    <t>dept</t>
  </si>
  <si>
    <t>2024 - present</t>
  </si>
  <si>
    <t>Non-Academic Short Course Committee</t>
  </si>
  <si>
    <t>Undergraduate ABET Committee</t>
  </si>
  <si>
    <t>2020 - present</t>
  </si>
  <si>
    <t>Undergraduate Curriculum Committee</t>
  </si>
  <si>
    <t>2019 - 2022</t>
  </si>
  <si>
    <t>Scribe for Faculty Meetings</t>
  </si>
  <si>
    <t>2019 - 2020</t>
  </si>
  <si>
    <t>Doctoral Qualifying Exam Committee</t>
  </si>
  <si>
    <t xml:space="preserve">college </t>
  </si>
  <si>
    <t>2023 - present</t>
  </si>
  <si>
    <t>_Director_, Data Analytics MS Program</t>
  </si>
  <si>
    <t>Generative AI Faculty Committee</t>
  </si>
  <si>
    <t>_Workshop Organizer_, Coding with AI (full-day workshop for students and faculty)</t>
  </si>
  <si>
    <t>2021 - 2022</t>
  </si>
  <si>
    <t>Strategic Research Planning Committee</t>
  </si>
  <si>
    <t>2020 - 2022</t>
  </si>
  <si>
    <t xml:space="preserve">Computing Committee </t>
  </si>
  <si>
    <t>_Co-founder_ and bi-weekly research meet up community organizer, GW Coders Organization</t>
  </si>
  <si>
    <t>professional</t>
  </si>
  <si>
    <t>_Special Issue Editor_, Environmental Research Infrastructure and Sustainability</t>
  </si>
  <si>
    <t xml:space="preserve">Annual Conference Organizing Committee Member, Industry Studies Association </t>
  </si>
  <si>
    <t>Dissertation Award Committee Chair, Industry Studies Association</t>
  </si>
  <si>
    <t>Online Program Committee Member, Industry Studies Association</t>
  </si>
  <si>
    <t>_Organizer_, Industrial Policy Webinar Series, Industry Studies Association</t>
  </si>
  <si>
    <t>2018 &amp; 2019</t>
  </si>
  <si>
    <t>Dissertation Award Committee Member, Industry Studies Association</t>
  </si>
  <si>
    <t>2019</t>
  </si>
  <si>
    <t xml:space="preserve">Conference Organizing Committee Member, Technology, Management, &amp; Policy Consortium </t>
  </si>
  <si>
    <t>Review Panel Member, National Science Foundation</t>
  </si>
  <si>
    <t>2020 &amp; 2021</t>
  </si>
  <si>
    <t xml:space="preserve">Review Panel Member, VTO Annual Merit, Dept. of Energy </t>
  </si>
  <si>
    <t>2020 &amp; 2024</t>
  </si>
  <si>
    <t>IEEE Vehicular Power and Propulsion Conference Reviewer</t>
  </si>
  <si>
    <t>2013, 2019, &amp; 2020</t>
  </si>
  <si>
    <t>Reviewer, National Academies Transportation Research Board Annual Meeting</t>
  </si>
  <si>
    <t>org</t>
  </si>
  <si>
    <t>18th annual Systems and Information Engineering Design Symposium (SIEDS)</t>
  </si>
  <si>
    <t>2012</t>
  </si>
  <si>
    <t>ASME International Design Engineering Conference</t>
  </si>
  <si>
    <t>National Academies Transportation Research Board</t>
  </si>
  <si>
    <t>IEEE Vehicular Power and Propulsion Conference</t>
  </si>
  <si>
    <t>IISE conference</t>
  </si>
  <si>
    <t>Bridging Transport Researchers (BTR 6)</t>
  </si>
  <si>
    <t xml:space="preserve">funding </t>
  </si>
  <si>
    <t>National Center for Sustainable Transportation RFP</t>
  </si>
  <si>
    <t>UC Davis Institute of Transportation Studies USDOT Research Grants</t>
  </si>
  <si>
    <t>UCLA Institute of Transportation Studies RFP</t>
  </si>
  <si>
    <t>Dept. of Energy Vehicle Technology Office Annual Merit Review</t>
  </si>
  <si>
    <t>NSF Future Manufacturing</t>
  </si>
  <si>
    <t>PITUN Internal Review for GWU Proposals</t>
  </si>
  <si>
    <t>Phi Beta Kappa inductees at GWU</t>
  </si>
  <si>
    <t>Climate Policy</t>
  </si>
  <si>
    <t>Energies</t>
  </si>
  <si>
    <t>Energy Policy</t>
  </si>
  <si>
    <t>Environmental Research: Infrastructure and Sustainability</t>
  </si>
  <si>
    <t>Geography and Sustainability</t>
  </si>
  <si>
    <t>iScience</t>
  </si>
  <si>
    <t>Journal of Environmental Management</t>
  </si>
  <si>
    <t>Journal of International Business</t>
  </si>
  <si>
    <t>Journal of Mechanical Design</t>
  </si>
  <si>
    <t>Journal of Systems Science and Systems Engineering</t>
  </si>
  <si>
    <t>Nature Communications Earth &amp; Environment</t>
  </si>
  <si>
    <t>Nature Energy</t>
  </si>
  <si>
    <t>RSC Sustainability</t>
  </si>
  <si>
    <t>Science</t>
  </si>
  <si>
    <t>Science Advances</t>
  </si>
  <si>
    <t>Technovation</t>
  </si>
  <si>
    <t>The Electricity Journal</t>
  </si>
  <si>
    <t>Transactions in GIS</t>
  </si>
  <si>
    <t>Transactions on Engineering Management</t>
  </si>
  <si>
    <t>Transport Policy</t>
  </si>
  <si>
    <t>Transportation Research Part D: Transport and Environment</t>
  </si>
  <si>
    <t>World Electric Vehicle 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</si>
</sst>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yyyy&quot;-&quot;mm&quot;-&quot;dd"/>
    <numFmt numFmtId="166" formatCode="&quot;$&quot;#,##0"/>
    <numFmt numFmtId="167" formatCode="&quot;$&quot;#,##0.00"/>
    <numFmt numFmtId="168" formatCode="0.0%"/>
    <numFmt numFmtId="169" formatCode="#,##0.0"/>
  </numFmts>
  <fonts count="16">
    <font>
      <sz val="10"/>
      <color rgb="FF000000"/>
      <name val="Arial"/>
      <scheme val="minor"/>
    </font>
    <font>
      <sz val="9"/>
      <color theme="1"/>
      <name val="Roboto Mono"/>
    </font>
    <font>
      <u/>
      <sz val="9"/>
      <color rgb="FF0000FF"/>
      <name val="Roboto Mono"/>
    </font>
    <font>
      <u/>
      <sz val="9"/>
      <color rgb="FF0000FF"/>
      <name val="Roboto Mono"/>
    </font>
    <font>
      <sz val="9"/>
      <color rgb="FF000000"/>
      <name val="Roboto Mono"/>
    </font>
    <font>
      <u/>
      <sz val="9"/>
      <color rgb="FF1155CC"/>
      <name val="Roboto Mono"/>
    </font>
    <font>
      <u/>
      <sz val="9"/>
      <color rgb="FF0000FF"/>
      <name val="Roboto Mono"/>
    </font>
    <font>
      <sz val="10"/>
      <color theme="1"/>
      <name val="Arial"/>
    </font>
    <font>
      <u/>
      <sz val="9"/>
      <color rgb="FF0000FF"/>
      <name val="Roboto Mono"/>
    </font>
    <font>
      <u/>
      <sz val="9"/>
      <color rgb="FF1155CC"/>
      <name val="Roboto Mono"/>
    </font>
    <font>
      <u/>
      <sz val="9"/>
      <color rgb="FF000000"/>
      <name val="Roboto Mono"/>
    </font>
    <font>
      <u/>
      <sz val="9"/>
      <color rgb="FF0000FF"/>
      <name val="Roboto Mono"/>
    </font>
    <font>
      <u/>
      <sz val="9"/>
      <color rgb="FF0000FF"/>
      <name val="Roboto Mono"/>
    </font>
    <font>
      <sz val="9"/>
      <color theme="1"/>
      <name val="&quot;Roboto Mono&quot;"/>
    </font>
    <font>
      <sz val="9"/>
      <name val="Roboto Mono"/>
    </font>
    <font>
      <sz val="9"/>
      <color indexed="81"/>
      <name val="Tahoma"/>
      <charset val="1"/>
    </font>
  </fonts>
  <fills count="4">
    <fill>
      <patternFill patternType="none"/>
    </fill>
    <fill>
      <patternFill patternType="gray125"/>
    </fill>
    <fill>
      <patternFill patternType="solid">
        <fgColor rgb="FFFFFFFF"/>
        <bgColor rgb="FFFFFFFF"/>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horizontal="left" vertical="top" wrapText="1"/>
    </xf>
    <xf numFmtId="49" fontId="1" fillId="0" borderId="0" xfId="0" applyNumberFormat="1" applyFont="1" applyAlignment="1">
      <alignment horizontal="left" vertical="top" wrapText="1"/>
    </xf>
    <xf numFmtId="164" fontId="1" fillId="0" borderId="0" xfId="0" applyNumberFormat="1"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vertical="top"/>
    </xf>
    <xf numFmtId="49" fontId="1" fillId="0" borderId="0" xfId="0" applyNumberFormat="1" applyFont="1" applyAlignment="1">
      <alignment vertical="top"/>
    </xf>
    <xf numFmtId="0" fontId="6" fillId="0" borderId="0" xfId="0" applyFont="1" applyAlignment="1">
      <alignment vertical="top"/>
    </xf>
    <xf numFmtId="0" fontId="1" fillId="0" borderId="0" xfId="0" applyFont="1" applyAlignment="1">
      <alignment wrapText="1"/>
    </xf>
    <xf numFmtId="0" fontId="1" fillId="0" borderId="0" xfId="0" applyFont="1"/>
    <xf numFmtId="0" fontId="7" fillId="0" borderId="0" xfId="0" applyFont="1" applyAlignment="1">
      <alignment vertical="top"/>
    </xf>
    <xf numFmtId="49" fontId="1" fillId="0" borderId="0" xfId="0" applyNumberFormat="1"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165" fontId="1" fillId="0" borderId="0" xfId="0" applyNumberFormat="1" applyFont="1" applyAlignment="1">
      <alignment horizontal="left" vertical="top" wrapText="1"/>
    </xf>
    <xf numFmtId="0" fontId="4" fillId="2" borderId="0" xfId="0" applyFont="1" applyFill="1" applyAlignment="1">
      <alignment horizontal="left" vertical="top" wrapText="1"/>
    </xf>
    <xf numFmtId="0" fontId="10" fillId="2" borderId="0" xfId="0" applyFont="1" applyFill="1" applyAlignment="1">
      <alignment horizontal="left" vertical="top" wrapText="1"/>
    </xf>
    <xf numFmtId="164" fontId="1" fillId="0" borderId="0" xfId="0" applyNumberFormat="1" applyFont="1" applyAlignment="1">
      <alignment horizontal="right" vertical="top" wrapText="1"/>
    </xf>
    <xf numFmtId="164" fontId="1" fillId="0" borderId="0" xfId="0" applyNumberFormat="1" applyFont="1" applyAlignment="1">
      <alignment vertical="top" wrapText="1"/>
    </xf>
    <xf numFmtId="0" fontId="1" fillId="0" borderId="0" xfId="0" applyFont="1" applyAlignment="1">
      <alignment horizontal="right" vertical="top" wrapText="1"/>
    </xf>
    <xf numFmtId="166" fontId="1" fillId="0" borderId="0" xfId="0" applyNumberFormat="1" applyFont="1"/>
    <xf numFmtId="167" fontId="1" fillId="0" borderId="0" xfId="0" applyNumberFormat="1" applyFont="1"/>
    <xf numFmtId="164" fontId="1" fillId="0" borderId="0" xfId="0" applyNumberFormat="1" applyFont="1"/>
    <xf numFmtId="0" fontId="11" fillId="0" borderId="0" xfId="0" applyFont="1"/>
    <xf numFmtId="168" fontId="1" fillId="0" borderId="0" xfId="0" applyNumberFormat="1" applyFont="1"/>
    <xf numFmtId="0" fontId="12" fillId="0" borderId="0" xfId="0" applyFont="1" applyAlignment="1">
      <alignment vertical="top" wrapText="1"/>
    </xf>
    <xf numFmtId="169" fontId="1" fillId="0" borderId="0" xfId="0" applyNumberFormat="1" applyFont="1"/>
    <xf numFmtId="169" fontId="1" fillId="0" borderId="0" xfId="0" applyNumberFormat="1" applyFont="1" applyAlignment="1">
      <alignment horizontal="right"/>
    </xf>
    <xf numFmtId="169" fontId="13" fillId="0" borderId="0" xfId="0" applyNumberFormat="1" applyFont="1" applyAlignment="1">
      <alignment horizontal="right"/>
    </xf>
    <xf numFmtId="49" fontId="1" fillId="0" borderId="0" xfId="0" applyNumberFormat="1" applyFont="1"/>
    <xf numFmtId="49" fontId="4" fillId="2" borderId="0" xfId="0" applyNumberFormat="1" applyFont="1" applyFill="1" applyAlignment="1">
      <alignment horizontal="left"/>
    </xf>
    <xf numFmtId="0" fontId="1" fillId="0" borderId="0" xfId="0" applyFont="1" applyAlignment="1">
      <alignment horizontal="right"/>
    </xf>
    <xf numFmtId="0" fontId="1"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opscience.iop.org/article/10.1088/1748-9326/ac7df3/pdf" TargetMode="External"/><Relationship Id="rId21" Type="http://schemas.openxmlformats.org/officeDocument/2006/relationships/hyperlink" Target="https://filedn.com/lYURdAnVcCykBHec07i0c6j/papers/2022-Helveston-He-Davidson-Nature-Solar-Learning.pdf" TargetMode="External"/><Relationship Id="rId42" Type="http://schemas.openxmlformats.org/officeDocument/2006/relationships/hyperlink" Target="https://www.researchgate.net/publication/323491265_Pooling_stated_and_revealed_preference_data_in_the_presence_of_RP_endogeneity" TargetMode="External"/><Relationship Id="rId47" Type="http://schemas.openxmlformats.org/officeDocument/2006/relationships/hyperlink" Target="https://filedn.com/lYURdAnVcCykBHec07i0c6j/papers/2015-Helveston-TRA-SI.pdf" TargetMode="External"/><Relationship Id="rId63" Type="http://schemas.openxmlformats.org/officeDocument/2006/relationships/hyperlink" Target="http://ssrn.com/abstract=2817052" TargetMode="External"/><Relationship Id="rId68" Type="http://schemas.openxmlformats.org/officeDocument/2006/relationships/hyperlink" Target="http://issues.org/34-1/perspective-navigating-an-uncertain-future-for-us-roads/" TargetMode="External"/><Relationship Id="rId84" Type="http://schemas.openxmlformats.org/officeDocument/2006/relationships/hyperlink" Target="https://www.thewirechina.com/2024/09/08/the-problem-with-overcapacity-in-chinas-automotive-industry-auto-china/" TargetMode="External"/><Relationship Id="rId89" Type="http://schemas.openxmlformats.org/officeDocument/2006/relationships/hyperlink" Target="https://filedn.com/lYURdAnVcCykBHec07i0c6j/papers/2022-Helveston-New-Security-Beat.pdf" TargetMode="External"/><Relationship Id="rId16" Type="http://schemas.openxmlformats.org/officeDocument/2006/relationships/hyperlink" Target="https://github.com/jhelvy/logitr" TargetMode="External"/><Relationship Id="rId11" Type="http://schemas.openxmlformats.org/officeDocument/2006/relationships/hyperlink" Target="https://filedn.com/lYURdAnVcCykBHec07i0c6j/papers/2023-Zhao-Joule.pdf" TargetMode="External"/><Relationship Id="rId32" Type="http://schemas.openxmlformats.org/officeDocument/2006/relationships/hyperlink" Target="https://zenodo.org/badge/latestdoi/247706381" TargetMode="External"/><Relationship Id="rId37" Type="http://schemas.openxmlformats.org/officeDocument/2006/relationships/hyperlink" Target="https://iopscience.iop.org/article/10.1088/1748-9326/ab2bd2/pdf" TargetMode="External"/><Relationship Id="rId53" Type="http://schemas.openxmlformats.org/officeDocument/2006/relationships/hyperlink" Target="https://sawtoothsoftware.com/resources/technical-papers/conferences/sawtooth-software-conference-2022" TargetMode="External"/><Relationship Id="rId58" Type="http://schemas.openxmlformats.org/officeDocument/2006/relationships/hyperlink" Target="https://github.com/jhelvy/2021-sawtooth-conf" TargetMode="External"/><Relationship Id="rId74" Type="http://schemas.openxmlformats.org/officeDocument/2006/relationships/hyperlink" Target="http://www.bu.edu/ise/research/meltingtheice/" TargetMode="External"/><Relationship Id="rId79" Type="http://schemas.openxmlformats.org/officeDocument/2006/relationships/hyperlink" Target="https://filedn.com/lYURdAnVcCykBHec07i0c6j/papers/2016-Helveston-Dissertation.pdf" TargetMode="External"/><Relationship Id="rId102" Type="http://schemas.openxmlformats.org/officeDocument/2006/relationships/hyperlink" Target="https://jhelvy.github.io/renderthis" TargetMode="External"/><Relationship Id="rId5" Type="http://schemas.openxmlformats.org/officeDocument/2006/relationships/hyperlink" Target="https://journals.sagepub.com/doi/10.1177/03611981231208976" TargetMode="External"/><Relationship Id="rId90" Type="http://schemas.openxmlformats.org/officeDocument/2006/relationships/hyperlink" Target="https://thehill.com/opinion/energy-environment/3729136-to-boost-solar-the-us-should-use-more-carrots-and-fewer-sticks/" TargetMode="External"/><Relationship Id="rId95" Type="http://schemas.openxmlformats.org/officeDocument/2006/relationships/hyperlink" Target="https://www.axios.com/chinas-looser-rules-may-usher-in-a-new-era-for-ev-and-av-companies-2ad9f9c2-2b0e-46c6-9b58-87f409159fff.html" TargetMode="External"/><Relationship Id="rId22" Type="http://schemas.openxmlformats.org/officeDocument/2006/relationships/hyperlink" Target="https://www.researchgate.net/publication/364757014_Quantifying_the_cost_savings_of_global_solar_photovoltaic_supply_chains" TargetMode="External"/><Relationship Id="rId27" Type="http://schemas.openxmlformats.org/officeDocument/2006/relationships/hyperlink" Target="https://onlinelibrary.wiley.com/doi/10.1002/sys.21600?af=R" TargetMode="External"/><Relationship Id="rId43" Type="http://schemas.openxmlformats.org/officeDocument/2006/relationships/hyperlink" Target="https://www.sciencedirect.com/science/article/abs/pii/S0965856415000038" TargetMode="External"/><Relationship Id="rId48" Type="http://schemas.openxmlformats.org/officeDocument/2006/relationships/hyperlink" Target="https://arxiv.org/abs/2402.00184" TargetMode="External"/><Relationship Id="rId64" Type="http://schemas.openxmlformats.org/officeDocument/2006/relationships/hyperlink" Target="https://filedn.com/lYURdAnVcCykBHec07i0c6j/papers/2014-Helveston-TRB.pdf" TargetMode="External"/><Relationship Id="rId69" Type="http://schemas.openxmlformats.org/officeDocument/2006/relationships/hyperlink" Target="https://filedn.com/lYURdAnVcCykBHec07i0c6j/papers/2017-Helveston-Issues-Fall.pdf" TargetMode="External"/><Relationship Id="rId80" Type="http://schemas.openxmlformats.org/officeDocument/2006/relationships/hyperlink" Target="https://www.researchgate.net/publication/315897350_Development_and_Adoption_of_Plug-in_Electric_Vehicles_in_China_Markets_Policy_and_Innovation" TargetMode="External"/><Relationship Id="rId85" Type="http://schemas.openxmlformats.org/officeDocument/2006/relationships/hyperlink" Target="https://filedn.com/lYURdAnVcCykBHec07i0c6j/papers/2024-Helveston-The-Wire-China-Sept.pdf" TargetMode="External"/><Relationship Id="rId12" Type="http://schemas.openxmlformats.org/officeDocument/2006/relationships/hyperlink" Target="https://incose.onlinelibrary.wiley.com/doi/10.1002/sys.21670" TargetMode="External"/><Relationship Id="rId17" Type="http://schemas.openxmlformats.org/officeDocument/2006/relationships/hyperlink" Target="https://arxiv.org/pdf/2210.10875" TargetMode="External"/><Relationship Id="rId33" Type="http://schemas.openxmlformats.org/officeDocument/2006/relationships/hyperlink" Target="https://iopscience.iop.org/article/10.1088/1748-9326/aba715/pdf" TargetMode="External"/><Relationship Id="rId38" Type="http://schemas.openxmlformats.org/officeDocument/2006/relationships/hyperlink" Target="https://www.sciencedirect.com/science/article/abs/pii/S0048733318301938" TargetMode="External"/><Relationship Id="rId59" Type="http://schemas.openxmlformats.org/officeDocument/2006/relationships/hyperlink" Target="https://filedn.com/lYURdAnVcCykBHec07i0c6j/papers/2021-Helveston-sawtooth-conf-wtp.pdf" TargetMode="External"/><Relationship Id="rId103" Type="http://schemas.openxmlformats.org/officeDocument/2006/relationships/hyperlink" Target="https://jhelvy.github.io/cbcTools" TargetMode="External"/><Relationship Id="rId20" Type="http://schemas.openxmlformats.org/officeDocument/2006/relationships/hyperlink" Target="https://github.com/jhelvy/solar-learning-2021" TargetMode="External"/><Relationship Id="rId41" Type="http://schemas.openxmlformats.org/officeDocument/2006/relationships/hyperlink" Target="https://filedn.com/lYURdAnVcCykBHec07i0c6j/papers/2018-Helveston-TRB.pdf" TargetMode="External"/><Relationship Id="rId54" Type="http://schemas.openxmlformats.org/officeDocument/2006/relationships/hyperlink" Target="https://github.com/jhelvy/2022-sawtooth-conf" TargetMode="External"/><Relationship Id="rId62" Type="http://schemas.openxmlformats.org/officeDocument/2006/relationships/hyperlink" Target="https://filedn.com/lYURdAnVcCykBHec07i0c6j/papers/2017-Helveston-aom.pdf" TargetMode="External"/><Relationship Id="rId70" Type="http://schemas.openxmlformats.org/officeDocument/2006/relationships/hyperlink" Target="https://yardbook.jhelvy.com/" TargetMode="External"/><Relationship Id="rId75" Type="http://schemas.openxmlformats.org/officeDocument/2006/relationships/hyperlink" Target="https://filedn.com/lYURdAnVcCykBHec07i0c6j/papers/2019-Ren-Helveston-MeltingIce-Chap7.pdf" TargetMode="External"/><Relationship Id="rId83" Type="http://schemas.openxmlformats.org/officeDocument/2006/relationships/hyperlink" Target="https://filedn.com/lYURdAnVcCykBHec07i0c6j/papers/2024-Roberson-Dissertation.pdf" TargetMode="External"/><Relationship Id="rId88" Type="http://schemas.openxmlformats.org/officeDocument/2006/relationships/hyperlink" Target="https://www.newsecuritybeat.org/2022/11/cost-solo-solar/" TargetMode="External"/><Relationship Id="rId91" Type="http://schemas.openxmlformats.org/officeDocument/2006/relationships/hyperlink" Target="https://filedn.com/lYURdAnVcCykBHec07i0c6j/papers/2022-Helveston-The-Hill-Nov.pdf" TargetMode="External"/><Relationship Id="rId96" Type="http://schemas.openxmlformats.org/officeDocument/2006/relationships/hyperlink" Target="https://filedn.com/lYURdAnVcCykBHec07i0c6j/papers/2019-Helveston-Axios-China.pdf" TargetMode="External"/><Relationship Id="rId1" Type="http://schemas.openxmlformats.org/officeDocument/2006/relationships/hyperlink" Target="https://iopscience.iop.org/article/10.1088/1748-9326/ad3fce" TargetMode="External"/><Relationship Id="rId6" Type="http://schemas.openxmlformats.org/officeDocument/2006/relationships/hyperlink" Target="https://github.com/lkaplan25/AV_conjoint_survey_2022" TargetMode="External"/><Relationship Id="rId15" Type="http://schemas.openxmlformats.org/officeDocument/2006/relationships/hyperlink" Target="https://www.jstatsoft.org/index.php/jss/article/view/v105i10" TargetMode="External"/><Relationship Id="rId23" Type="http://schemas.openxmlformats.org/officeDocument/2006/relationships/hyperlink" Target="https://mp.weixin.qq.com/s/6jviC87yAU9ViLG95lvsAg" TargetMode="External"/><Relationship Id="rId28" Type="http://schemas.openxmlformats.org/officeDocument/2006/relationships/hyperlink" Target="https://filedn.com/lYURdAnVcCykBHec07i0c6j/papers/2021-Szajnfarber-Systems-Engineering.pdf" TargetMode="External"/><Relationship Id="rId36" Type="http://schemas.openxmlformats.org/officeDocument/2006/relationships/hyperlink" Target="https://iopscience.iop.org/article/10.1088/1748-9326/ab2bd2/meta" TargetMode="External"/><Relationship Id="rId49" Type="http://schemas.openxmlformats.org/officeDocument/2006/relationships/hyperlink" Target="https://github.com/crforsythe/HAVAN-Paper" TargetMode="External"/><Relationship Id="rId57" Type="http://schemas.openxmlformats.org/officeDocument/2006/relationships/hyperlink" Target="https://www.jhelvy.com/talks/2021-04-20-sawtooth-conf-logitr/" TargetMode="External"/><Relationship Id="rId10" Type="http://schemas.openxmlformats.org/officeDocument/2006/relationships/hyperlink" Target="https://doi.org/10.5281/zenodo.8371109" TargetMode="External"/><Relationship Id="rId31" Type="http://schemas.openxmlformats.org/officeDocument/2006/relationships/hyperlink" Target="https://iopscience.iop.org/article/10.1088/1748-9326/aba715/meta" TargetMode="External"/><Relationship Id="rId44" Type="http://schemas.openxmlformats.org/officeDocument/2006/relationships/hyperlink" Target="https://zenodo.org/badge/latestdoi/308370580" TargetMode="External"/><Relationship Id="rId52" Type="http://schemas.openxmlformats.org/officeDocument/2006/relationships/hyperlink" Target="https://filedn.com/lYURdAnVcCykBHec07i0c6j/papers/2022-Helveston-Chinese-EV-Leadership.pdf" TargetMode="External"/><Relationship Id="rId60" Type="http://schemas.openxmlformats.org/officeDocument/2006/relationships/hyperlink" Target="https://ieeexplore.ieee.org/document/8478558" TargetMode="External"/><Relationship Id="rId65" Type="http://schemas.openxmlformats.org/officeDocument/2006/relationships/hyperlink" Target="https://filedn.com/lYURdAnVcCykBHec07i0c6j/papers/2023-Kaplan-IISE-Magazine.pdf" TargetMode="External"/><Relationship Id="rId73" Type="http://schemas.openxmlformats.org/officeDocument/2006/relationships/hyperlink" Target="https://github.com/jhelvy/p4a-book" TargetMode="External"/><Relationship Id="rId78" Type="http://schemas.openxmlformats.org/officeDocument/2006/relationships/hyperlink" Target="https://filedn.com/lYURdAnVcCykBHec07i0c6j/papers/2016%20-%20Helveston%20-%20Dissertation%20-%20Development%20and%20Adoption%20of%20Plug-in%20Electric%20Vehicles%20in%20China.pdf" TargetMode="External"/><Relationship Id="rId81" Type="http://schemas.openxmlformats.org/officeDocument/2006/relationships/hyperlink" Target="https://kilthub.cmu.edu/articles/Development_and_Adoption_of_Plug-in_Electric_Vehicles_in_China_Markets_Policy_and_Innovation/6715850" TargetMode="External"/><Relationship Id="rId86" Type="http://schemas.openxmlformats.org/officeDocument/2006/relationships/hyperlink" Target="https://www.scientificamerican.com/article/electric-vehicle-owners-are-not-driving-enough-and-thats-bad/" TargetMode="External"/><Relationship Id="rId94" Type="http://schemas.openxmlformats.org/officeDocument/2006/relationships/hyperlink" Target="https://shows.pippa.io/the-future-car-a-siemens-podcast/episodes/john-helveston" TargetMode="External"/><Relationship Id="rId99" Type="http://schemas.openxmlformats.org/officeDocument/2006/relationships/hyperlink" Target="https://jhelvy.github.io/surveydown/" TargetMode="External"/><Relationship Id="rId101" Type="http://schemas.openxmlformats.org/officeDocument/2006/relationships/hyperlink" Target="https://jhelvy.github.io/logitr/" TargetMode="External"/><Relationship Id="rId4" Type="http://schemas.openxmlformats.org/officeDocument/2006/relationships/hyperlink" Target="https://www.researchgate.net/publication/379919327_Battery-powered_bargains_Assessing_electric_vehicle_resale_value_in_the_United_States" TargetMode="External"/><Relationship Id="rId9" Type="http://schemas.openxmlformats.org/officeDocument/2006/relationships/hyperlink" Target="https://www.sciencedirect.com/science/article/abs/pii/S254243512300404X" TargetMode="External"/><Relationship Id="rId13" Type="http://schemas.openxmlformats.org/officeDocument/2006/relationships/hyperlink" Target="https://filedn.com/lYURdAnVcCykBHec07i0c6j/papers/2023-Zhao-Systems-Engineering.pdf" TargetMode="External"/><Relationship Id="rId18" Type="http://schemas.openxmlformats.org/officeDocument/2006/relationships/hyperlink" Target="https://www.researchgate.net/publication/364514656_logitr_Fast_Estimation_of_Multinomial_and_Mixed_Logit_Models_with_Preference_Space_and_Willingness_to_Pay_Space_Utility_Parameterizations" TargetMode="External"/><Relationship Id="rId39" Type="http://schemas.openxmlformats.org/officeDocument/2006/relationships/hyperlink" Target="https://filedn.com/lYURdAnVcCykBHec07i0c6j/papers/2019-Helveston-Research-Policy.pdf" TargetMode="External"/><Relationship Id="rId34" Type="http://schemas.openxmlformats.org/officeDocument/2006/relationships/hyperlink" Target="https://science.sciencemag.org/content/366/6467/794.full?ijkey=BpsTMIIAzoEgE&amp;keytype=ref&amp;siteid=sci" TargetMode="External"/><Relationship Id="rId50" Type="http://schemas.openxmlformats.org/officeDocument/2006/relationships/hyperlink" Target="https://filedn.com/lYURdAnVcCykBHec07i0c6j/papers/2023-Kaplan-IISE-Conf-Proceedings.pdf" TargetMode="External"/><Relationship Id="rId55" Type="http://schemas.openxmlformats.org/officeDocument/2006/relationships/hyperlink" Target="https://filedn.com/lYURdAnVcCykBHec07i0c6j/papers/2021-Helveston-sawtooth-conf-wtp.pdf" TargetMode="External"/><Relationship Id="rId76" Type="http://schemas.openxmlformats.org/officeDocument/2006/relationships/hyperlink" Target="http://www.bu.edu/ise/research/meltingtheice/" TargetMode="External"/><Relationship Id="rId97" Type="http://schemas.openxmlformats.org/officeDocument/2006/relationships/hyperlink" Target="https://www.bu.edu/ise/2018/08/27/will-autonomous-vehicles-be-electric/" TargetMode="External"/><Relationship Id="rId104" Type="http://schemas.openxmlformats.org/officeDocument/2006/relationships/vmlDrawing" Target="../drawings/vmlDrawing1.vml"/><Relationship Id="rId7" Type="http://schemas.openxmlformats.org/officeDocument/2006/relationships/hyperlink" Target="https://filedn.com/lYURdAnVcCykBHec07i0c6j/papers/2023-Kaplan-Helveston-TRR.pdf" TargetMode="External"/><Relationship Id="rId71" Type="http://schemas.openxmlformats.org/officeDocument/2006/relationships/hyperlink" Target="https://github.com/jhelvy/yardbookbook" TargetMode="External"/><Relationship Id="rId92" Type="http://schemas.openxmlformats.org/officeDocument/2006/relationships/hyperlink" Target="https://thehill.com/opinion/energy-environment/3473602-tariffs-wont-build-a-robust-us-solar-industry/" TargetMode="External"/><Relationship Id="rId2" Type="http://schemas.openxmlformats.org/officeDocument/2006/relationships/hyperlink" Target="https://github.com/jhelvy/pev-resale-2024" TargetMode="External"/><Relationship Id="rId29" Type="http://schemas.openxmlformats.org/officeDocument/2006/relationships/hyperlink" Target="https://link.springer.com/article/10.1007%2Fs11002-020-09541-9" TargetMode="External"/><Relationship Id="rId24" Type="http://schemas.openxmlformats.org/officeDocument/2006/relationships/hyperlink" Target="https://iopscience.iop.org/article/10.1088/1748-9326/ac7df3" TargetMode="External"/><Relationship Id="rId40" Type="http://schemas.openxmlformats.org/officeDocument/2006/relationships/hyperlink" Target="https://www.sciencedirect.com/science/article/abs/pii/S0191261516304647" TargetMode="External"/><Relationship Id="rId45" Type="http://schemas.openxmlformats.org/officeDocument/2006/relationships/hyperlink" Target="https://filedn.com/lYURdAnVcCykBHec07i0c6j/papers/2015-Helveston-TRA.pdf" TargetMode="External"/><Relationship Id="rId66" Type="http://schemas.openxmlformats.org/officeDocument/2006/relationships/hyperlink" Target="https://issues.org/china-norway-ev-tesla/" TargetMode="External"/><Relationship Id="rId87" Type="http://schemas.openxmlformats.org/officeDocument/2006/relationships/hyperlink" Target="https://filedn.com/lYURdAnVcCykBHec07i0c6j/papers/2023-Helveston-Scientific-American.pdf" TargetMode="External"/><Relationship Id="rId61" Type="http://schemas.openxmlformats.org/officeDocument/2006/relationships/hyperlink" Target="https://filedn.com/lYURdAnVcCykBHec07i0c6j/papers/2018-Liang-IEEE.pdf" TargetMode="External"/><Relationship Id="rId82" Type="http://schemas.openxmlformats.org/officeDocument/2006/relationships/hyperlink" Target="https://filedn.com/lYURdAnVcCykBHec07i0c6j/papers/2016%20-%20Helveston%20-%20Dissertation%20-%20Development%20and%20Adoption%20of%20Plug-in%20Electric%20Vehicles%20in%20China.pdf" TargetMode="External"/><Relationship Id="rId19" Type="http://schemas.openxmlformats.org/officeDocument/2006/relationships/hyperlink" Target="https://www.nature.com/articles/s41586-022-05316-6" TargetMode="External"/><Relationship Id="rId14" Type="http://schemas.openxmlformats.org/officeDocument/2006/relationships/hyperlink" Target="https://www.researchgate.net/publication/369016222_Using_conjoint_analysis_to_incorporate_heterogeneous_preferences_into_multimodal_transit_trip_simulations" TargetMode="External"/><Relationship Id="rId30" Type="http://schemas.openxmlformats.org/officeDocument/2006/relationships/hyperlink" Target="https://filedn.com/lYURdAnVcCykBHec07i0c6j/papers/2020-Feinberg-Marketing-Letters.pdf" TargetMode="External"/><Relationship Id="rId35" Type="http://schemas.openxmlformats.org/officeDocument/2006/relationships/hyperlink" Target="https://filedn.com/lYURdAnVcCykBHec07i0c6j/papers/2019-Helveston-Nahm-Science.pdf" TargetMode="External"/><Relationship Id="rId56" Type="http://schemas.openxmlformats.org/officeDocument/2006/relationships/hyperlink" Target="https://jhelvy.github.io/cbcTools/" TargetMode="External"/><Relationship Id="rId77" Type="http://schemas.openxmlformats.org/officeDocument/2006/relationships/hyperlink" Target="https://filedn.com/lYURdAnVcCykBHec07i0c6j/papers/2019-Hatch-Helveston-MeltingIce-Chap6.pdf" TargetMode="External"/><Relationship Id="rId100" Type="http://schemas.openxmlformats.org/officeDocument/2006/relationships/hyperlink" Target="https://www.jstatsoft.org/index.php/jss/article/view/v105i10/4440" TargetMode="External"/><Relationship Id="rId105" Type="http://schemas.openxmlformats.org/officeDocument/2006/relationships/comments" Target="../comments1.xml"/><Relationship Id="rId8" Type="http://schemas.openxmlformats.org/officeDocument/2006/relationships/hyperlink" Target="https://www.researchgate.net/publication/375988686_Undercutting_Transit_Exploring_Potential_Competition_Between_Automated_Vehicles_and_Public_Transportation_in_the_United_States" TargetMode="External"/><Relationship Id="rId51" Type="http://schemas.openxmlformats.org/officeDocument/2006/relationships/hyperlink" Target="https://filedn.com/lYURdAnVcCykBHec07i0c6j/papers/2023-Kaplan-Helveston-TRB.pdf" TargetMode="External"/><Relationship Id="rId72" Type="http://schemas.openxmlformats.org/officeDocument/2006/relationships/hyperlink" Target="https://p4a.jhelvy.com/" TargetMode="External"/><Relationship Id="rId93" Type="http://schemas.openxmlformats.org/officeDocument/2006/relationships/hyperlink" Target="https://filedn.com/lYURdAnVcCykBHec07i0c6j/papers/2022-Helveston-The-Hill-May.pdf" TargetMode="External"/><Relationship Id="rId98" Type="http://schemas.openxmlformats.org/officeDocument/2006/relationships/hyperlink" Target="https://filedn.com/lYURdAnVcCykBHec07i0c6j/papers/2018-Helveston-ISE-Blog-AVs.pdf" TargetMode="External"/><Relationship Id="rId3" Type="http://schemas.openxmlformats.org/officeDocument/2006/relationships/hyperlink" Target="https://iopscience.iop.org/article/10.1088/1748-9326/ad3fce/pdf" TargetMode="External"/><Relationship Id="rId25" Type="http://schemas.openxmlformats.org/officeDocument/2006/relationships/hyperlink" Target="https://zenodo.org/badge/latestdoi/455218048" TargetMode="External"/><Relationship Id="rId46" Type="http://schemas.openxmlformats.org/officeDocument/2006/relationships/hyperlink" Target="https://www.researchgate.net/publication/272297857_Will_subsidies_drive_electric_vehicle_adoption_Measuring_consumer_preferences_in_the_US_and_China?ev=prf_high" TargetMode="External"/><Relationship Id="rId67" Type="http://schemas.openxmlformats.org/officeDocument/2006/relationships/hyperlink" Target="https://filedn.com/lYURdAnVcCykBHec07i0c6j/papers/2021-Helveston-Issues-Winter.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jhelvy.com/talks/2021-01-21-surveys-with-formr/" TargetMode="External"/><Relationship Id="rId3" Type="http://schemas.openxmlformats.org/officeDocument/2006/relationships/hyperlink" Target="https://filedn.com/lYURdAnVcCykBHec07i0c6j/slides/2016-AOM.pdf" TargetMode="External"/><Relationship Id="rId7" Type="http://schemas.openxmlformats.org/officeDocument/2006/relationships/hyperlink" Target="https://appam.confex.com/appam/2020/meetingapp.cgi/Paper/37403" TargetMode="External"/><Relationship Id="rId12" Type="http://schemas.openxmlformats.org/officeDocument/2006/relationships/hyperlink" Target="https://github.com/jhelvy/renderthis" TargetMode="External"/><Relationship Id="rId2" Type="http://schemas.openxmlformats.org/officeDocument/2006/relationships/hyperlink" Target="https://filedn.com/lYURdAnVcCykBHec07i0c6j/slides/2014-AOM.pdf" TargetMode="External"/><Relationship Id="rId1" Type="http://schemas.openxmlformats.org/officeDocument/2006/relationships/hyperlink" Target="https://filedn.com/lYURdAnVcCykBHec07i0c6j/slides/2014-06-25.pdf" TargetMode="External"/><Relationship Id="rId6" Type="http://schemas.openxmlformats.org/officeDocument/2006/relationships/hyperlink" Target="https://appam.confex.com/appam/2020/meetingapp.cgi/Session/14742" TargetMode="External"/><Relationship Id="rId11" Type="http://schemas.openxmlformats.org/officeDocument/2006/relationships/hyperlink" Target="https://github.com/jhelvy/2022-sawtooth-conf" TargetMode="External"/><Relationship Id="rId5" Type="http://schemas.openxmlformats.org/officeDocument/2006/relationships/hyperlink" Target="https://www.albany.edu/confucius/US-china-relations-fall2020.html" TargetMode="External"/><Relationship Id="rId10" Type="http://schemas.openxmlformats.org/officeDocument/2006/relationships/hyperlink" Target="https://www.jhelvy.com/talks/2021-07-06-user-healthy-hands/" TargetMode="External"/><Relationship Id="rId4" Type="http://schemas.openxmlformats.org/officeDocument/2006/relationships/hyperlink" Target="https://itif.org/events/2019/10/30/chinas-impact-solar-industry-lessons-future-clean-energy" TargetMode="External"/><Relationship Id="rId9" Type="http://schemas.openxmlformats.org/officeDocument/2006/relationships/hyperlink" Target="https://www.jhelvy.com/talks/2021-04-20-sawtooth-conf-logit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cleantechnica.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loan.org/programs/research/energy-and-environment" TargetMode="External"/><Relationship Id="rId3" Type="http://schemas.openxmlformats.org/officeDocument/2006/relationships/hyperlink" Target="https://research.gwu.edu/university-facilitating-fund)" TargetMode="External"/><Relationship Id="rId7" Type="http://schemas.openxmlformats.org/officeDocument/2006/relationships/hyperlink" Target="https://toyotamobilityfoundation.org/" TargetMode="External"/><Relationship Id="rId2" Type="http://schemas.openxmlformats.org/officeDocument/2006/relationships/hyperlink" Target="https://www.energy.gov/eere/wind/wind-energy-technologies-office" TargetMode="External"/><Relationship Id="rId1" Type="http://schemas.openxmlformats.org/officeDocument/2006/relationships/hyperlink" Target="https://www.nber.org/programs-projects/projects-and-centers/transportation-economics-21st-century/transportation-economics-21st-century-research-projects" TargetMode="External"/><Relationship Id="rId6" Type="http://schemas.openxmlformats.org/officeDocument/2006/relationships/hyperlink" Target="https://research.gwu.edu/university-facilitating-fund)" TargetMode="External"/><Relationship Id="rId11" Type="http://schemas.openxmlformats.org/officeDocument/2006/relationships/hyperlink" Target="https://library.gwu.edu/adapting-course-materials-for-equity-grant" TargetMode="External"/><Relationship Id="rId5" Type="http://schemas.openxmlformats.org/officeDocument/2006/relationships/hyperlink" Target="https://www.newamerica.org/pit/university-network/about-pitun/" TargetMode="External"/><Relationship Id="rId10" Type="http://schemas.openxmlformats.org/officeDocument/2006/relationships/hyperlink" Target="https://sloan.org/programs/research/energy-and-environment" TargetMode="External"/><Relationship Id="rId4" Type="http://schemas.openxmlformats.org/officeDocument/2006/relationships/hyperlink" Target="https://toyotamobilityfoundation.org/" TargetMode="External"/><Relationship Id="rId9" Type="http://schemas.openxmlformats.org/officeDocument/2006/relationships/hyperlink" Target="https://eere-exchange.energy.gov/Default.aspx?foaId=8cf6d82c-c517-4db4-9bd7-778ba7232f8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lishingsupport.iopscience.iop.org/questions/reviewer-awards/" TargetMode="External"/><Relationship Id="rId2" Type="http://schemas.openxmlformats.org/officeDocument/2006/relationships/hyperlink" Target="https://www.seas.gwu.edu/seas-excellence-awards-teaching-research-and-service" TargetMode="External"/><Relationship Id="rId1" Type="http://schemas.openxmlformats.org/officeDocument/2006/relationships/hyperlink" Target="https://engineering.gwu.edu/gw-engineering-student-sprints-first-place-speed-thesis-competition" TargetMode="External"/><Relationship Id="rId4" Type="http://schemas.openxmlformats.org/officeDocument/2006/relationships/hyperlink" Target="https://emse.engineering.gwu.edu/gw-engineering-students-help-wmata-save-liv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youtu.be/eFpJeAxQ80c?si=l4iuSwBPWC82Xu-T" TargetMode="External"/><Relationship Id="rId3" Type="http://schemas.openxmlformats.org/officeDocument/2006/relationships/hyperlink" Target="https://youtu.be/CGT3McFITF4?si=B-4VPLxM07uVvYjJ" TargetMode="External"/><Relationship Id="rId7" Type="http://schemas.openxmlformats.org/officeDocument/2006/relationships/hyperlink" Target="https://youtu.be/rQS2OGuFMUk?si=Y47rA275D1jgVopN" TargetMode="External"/><Relationship Id="rId12" Type="http://schemas.openxmlformats.org/officeDocument/2006/relationships/hyperlink" Target="https://jhelvy.github.io/2023-qux-conf-conjoint/" TargetMode="External"/><Relationship Id="rId2" Type="http://schemas.openxmlformats.org/officeDocument/2006/relationships/hyperlink" Target="https://youtu.be/Tw6VjWs0Qr0?si=progW-v8LuiyNm4e" TargetMode="External"/><Relationship Id="rId1" Type="http://schemas.openxmlformats.org/officeDocument/2006/relationships/hyperlink" Target="https://youtu.be/28oKINmXgzQ?si=IUxrQkzlB5XYQ0ve" TargetMode="External"/><Relationship Id="rId6" Type="http://schemas.openxmlformats.org/officeDocument/2006/relationships/hyperlink" Target="https://youtu.be/659xQD516iw?si=PcY7HlgFlcnZ-PU0" TargetMode="External"/><Relationship Id="rId11" Type="http://schemas.openxmlformats.org/officeDocument/2006/relationships/hyperlink" Target="https://jhelvy.github.io/2023-qux-conf-conjoint/" TargetMode="External"/><Relationship Id="rId5" Type="http://schemas.openxmlformats.org/officeDocument/2006/relationships/hyperlink" Target="https://youtu.be/6BBqUuXEP04?si=6YLNgOBsUxsBf5lr" TargetMode="External"/><Relationship Id="rId10" Type="http://schemas.openxmlformats.org/officeDocument/2006/relationships/hyperlink" Target="https://jhelvy.github.io/dtais-dataviz/" TargetMode="External"/><Relationship Id="rId4" Type="http://schemas.openxmlformats.org/officeDocument/2006/relationships/hyperlink" Target="https://youtu.be/Hjosc_NQ3t0?si=FhNtZ70CLbBVe2CU" TargetMode="External"/><Relationship Id="rId9" Type="http://schemas.openxmlformats.org/officeDocument/2006/relationships/hyperlink" Target="https://jhelvy.github.io/stories-with-dat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0"/>
  <sheetViews>
    <sheetView tabSelected="1" workbookViewId="0">
      <pane ySplit="1" topLeftCell="A32" activePane="bottomLeft" state="frozen"/>
      <selection pane="bottomLeft" activeCell="J37" sqref="J37"/>
    </sheetView>
  </sheetViews>
  <sheetFormatPr defaultColWidth="12.6328125" defaultRowHeight="15.75" customHeight="1"/>
  <cols>
    <col min="1" max="1" width="23.1796875" customWidth="1"/>
    <col min="2" max="2" width="9.7265625" customWidth="1"/>
    <col min="3" max="3" width="8.1796875" customWidth="1"/>
    <col min="4" max="4" width="16.26953125" customWidth="1"/>
    <col min="5" max="5" width="12.90625" bestFit="1" customWidth="1"/>
    <col min="6" max="6" width="4.7265625" customWidth="1"/>
    <col min="7" max="7" width="42.36328125" customWidth="1"/>
    <col min="8" max="8" width="34.08984375" customWidth="1"/>
    <col min="9" max="9" width="28.36328125" customWidth="1"/>
    <col min="10" max="10" width="34.6328125" customWidth="1"/>
    <col min="11" max="11" width="25" customWidth="1"/>
    <col min="12" max="12" width="23" customWidth="1"/>
    <col min="13" max="13" width="28.7265625" customWidth="1"/>
    <col min="14" max="14" width="30.6328125" customWidth="1"/>
    <col min="15" max="15" width="16.7265625" customWidth="1"/>
    <col min="18" max="18" width="17.08984375" customWidth="1"/>
    <col min="19" max="19" width="26.6328125" customWidth="1"/>
    <col min="20" max="20" width="24.7265625" customWidth="1"/>
    <col min="21" max="21" width="20.90625" customWidth="1"/>
  </cols>
  <sheetData>
    <row r="1" spans="1:22" ht="15.75" customHeight="1">
      <c r="A1" s="1" t="s">
        <v>0</v>
      </c>
      <c r="B1" s="36" t="s">
        <v>1</v>
      </c>
      <c r="C1" s="36"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row>
    <row r="2" spans="1:22" ht="37.5" customHeight="1">
      <c r="A2" s="1" t="s">
        <v>22</v>
      </c>
      <c r="B2" s="1" t="b">
        <v>1</v>
      </c>
      <c r="C2" s="1" t="b">
        <v>1</v>
      </c>
      <c r="D2" s="3">
        <v>45399</v>
      </c>
      <c r="E2" s="1" t="s">
        <v>23</v>
      </c>
      <c r="F2" s="1">
        <v>2024</v>
      </c>
      <c r="G2" s="1" t="s">
        <v>24</v>
      </c>
      <c r="H2" s="1" t="s">
        <v>25</v>
      </c>
      <c r="I2" s="1" t="s">
        <v>26</v>
      </c>
      <c r="J2" s="2"/>
      <c r="K2" s="1" t="s">
        <v>27</v>
      </c>
      <c r="L2" s="4" t="s">
        <v>28</v>
      </c>
      <c r="M2" s="4" t="s">
        <v>29</v>
      </c>
      <c r="N2" s="4" t="s">
        <v>30</v>
      </c>
      <c r="O2" s="5" t="s">
        <v>31</v>
      </c>
      <c r="P2" s="1"/>
      <c r="Q2" s="1"/>
      <c r="R2" s="1" t="s">
        <v>32</v>
      </c>
      <c r="S2" s="1" t="s">
        <v>33</v>
      </c>
      <c r="T2" s="1" t="s">
        <v>34</v>
      </c>
      <c r="U2" s="1" t="s">
        <v>35</v>
      </c>
      <c r="V2" s="1" t="s">
        <v>36</v>
      </c>
    </row>
    <row r="3" spans="1:22" ht="37.5" customHeight="1">
      <c r="A3" s="1" t="s">
        <v>22</v>
      </c>
      <c r="B3" s="1" t="b">
        <v>1</v>
      </c>
      <c r="C3" s="1" t="b">
        <v>1</v>
      </c>
      <c r="D3" s="3">
        <v>45257</v>
      </c>
      <c r="E3" s="1" t="s">
        <v>37</v>
      </c>
      <c r="F3" s="1">
        <v>2023</v>
      </c>
      <c r="G3" s="1" t="s">
        <v>38</v>
      </c>
      <c r="H3" s="1" t="s">
        <v>39</v>
      </c>
      <c r="I3" s="1" t="s">
        <v>40</v>
      </c>
      <c r="J3" s="2"/>
      <c r="K3" s="1" t="s">
        <v>41</v>
      </c>
      <c r="L3" s="4" t="s">
        <v>42</v>
      </c>
      <c r="M3" s="5" t="s">
        <v>43</v>
      </c>
      <c r="N3" s="5" t="s">
        <v>44</v>
      </c>
      <c r="O3" s="5" t="s">
        <v>45</v>
      </c>
      <c r="P3" s="1"/>
      <c r="Q3" s="1"/>
      <c r="R3" s="1" t="s">
        <v>46</v>
      </c>
      <c r="S3" s="1" t="s">
        <v>47</v>
      </c>
      <c r="T3" s="1" t="s">
        <v>48</v>
      </c>
      <c r="U3" s="1" t="s">
        <v>49</v>
      </c>
      <c r="V3" s="1" t="s">
        <v>50</v>
      </c>
    </row>
    <row r="4" spans="1:22" ht="37.5" customHeight="1">
      <c r="A4" s="1" t="s">
        <v>22</v>
      </c>
      <c r="B4" s="1" t="b">
        <v>1</v>
      </c>
      <c r="C4" s="1" t="b">
        <v>1</v>
      </c>
      <c r="D4" s="3">
        <v>45245</v>
      </c>
      <c r="E4" s="1" t="s">
        <v>51</v>
      </c>
      <c r="F4" s="1">
        <v>2023</v>
      </c>
      <c r="G4" s="1" t="s">
        <v>52</v>
      </c>
      <c r="H4" s="1" t="s">
        <v>53</v>
      </c>
      <c r="I4" s="1" t="s">
        <v>54</v>
      </c>
      <c r="J4" s="2" t="s">
        <v>55</v>
      </c>
      <c r="K4" s="1" t="s">
        <v>56</v>
      </c>
      <c r="L4" s="5" t="s">
        <v>57</v>
      </c>
      <c r="M4" s="4" t="s">
        <v>58</v>
      </c>
      <c r="N4" s="4" t="s">
        <v>59</v>
      </c>
      <c r="O4" s="1"/>
      <c r="P4" s="1"/>
      <c r="Q4" s="1"/>
      <c r="R4" s="1" t="s">
        <v>60</v>
      </c>
      <c r="S4" s="1" t="s">
        <v>61</v>
      </c>
      <c r="T4" s="1" t="s">
        <v>62</v>
      </c>
      <c r="U4" s="1" t="s">
        <v>63</v>
      </c>
      <c r="V4" s="1" t="s">
        <v>64</v>
      </c>
    </row>
    <row r="5" spans="1:22" ht="37.5" customHeight="1">
      <c r="A5" s="1" t="s">
        <v>22</v>
      </c>
      <c r="B5" s="1" t="b">
        <v>1</v>
      </c>
      <c r="C5" s="1" t="b">
        <v>1</v>
      </c>
      <c r="D5" s="3">
        <v>44990</v>
      </c>
      <c r="E5" s="1" t="s">
        <v>65</v>
      </c>
      <c r="F5" s="1">
        <v>2023</v>
      </c>
      <c r="G5" s="1" t="s">
        <v>66</v>
      </c>
      <c r="H5" s="1" t="s">
        <v>67</v>
      </c>
      <c r="I5" s="1" t="s">
        <v>68</v>
      </c>
      <c r="J5" s="2"/>
      <c r="K5" s="1" t="s">
        <v>69</v>
      </c>
      <c r="L5" s="4" t="s">
        <v>70</v>
      </c>
      <c r="M5" s="1"/>
      <c r="N5" s="4" t="s">
        <v>71</v>
      </c>
      <c r="O5" s="4" t="s">
        <v>72</v>
      </c>
      <c r="P5" s="1"/>
      <c r="Q5" s="1"/>
      <c r="R5" s="1" t="s">
        <v>73</v>
      </c>
      <c r="S5" s="1" t="s">
        <v>74</v>
      </c>
      <c r="T5" s="1" t="s">
        <v>75</v>
      </c>
      <c r="U5" s="1" t="s">
        <v>76</v>
      </c>
      <c r="V5" s="1" t="s">
        <v>77</v>
      </c>
    </row>
    <row r="6" spans="1:22" ht="37.5" customHeight="1">
      <c r="A6" s="1" t="s">
        <v>22</v>
      </c>
      <c r="B6" s="1" t="b">
        <v>1</v>
      </c>
      <c r="C6" s="1" t="b">
        <v>1</v>
      </c>
      <c r="D6" s="3">
        <v>44964</v>
      </c>
      <c r="E6" s="1" t="s">
        <v>78</v>
      </c>
      <c r="F6" s="1">
        <v>2023</v>
      </c>
      <c r="G6" s="1" t="s">
        <v>79</v>
      </c>
      <c r="H6" s="1" t="s">
        <v>80</v>
      </c>
      <c r="I6" s="1" t="s">
        <v>81</v>
      </c>
      <c r="J6" s="2" t="s">
        <v>82</v>
      </c>
      <c r="K6" s="1" t="s">
        <v>83</v>
      </c>
      <c r="L6" s="4" t="s">
        <v>84</v>
      </c>
      <c r="M6" s="4" t="s">
        <v>85</v>
      </c>
      <c r="N6" s="4" t="s">
        <v>86</v>
      </c>
      <c r="O6" s="4" t="s">
        <v>87</v>
      </c>
      <c r="P6" s="1"/>
      <c r="Q6" s="1"/>
      <c r="R6" s="1" t="s">
        <v>88</v>
      </c>
      <c r="S6" s="1" t="s">
        <v>89</v>
      </c>
      <c r="T6" s="1" t="s">
        <v>90</v>
      </c>
      <c r="U6" s="1" t="s">
        <v>91</v>
      </c>
      <c r="V6" s="1" t="s">
        <v>92</v>
      </c>
    </row>
    <row r="7" spans="1:22" ht="37.5" customHeight="1">
      <c r="A7" s="1" t="s">
        <v>22</v>
      </c>
      <c r="B7" s="1" t="b">
        <v>1</v>
      </c>
      <c r="C7" s="1" t="b">
        <v>1</v>
      </c>
      <c r="D7" s="3">
        <v>44860</v>
      </c>
      <c r="E7" s="6" t="s">
        <v>93</v>
      </c>
      <c r="F7" s="1">
        <v>2022</v>
      </c>
      <c r="G7" s="1" t="s">
        <v>94</v>
      </c>
      <c r="H7" s="1" t="s">
        <v>95</v>
      </c>
      <c r="I7" s="1" t="s">
        <v>96</v>
      </c>
      <c r="J7" s="2" t="s">
        <v>97</v>
      </c>
      <c r="K7" s="1" t="s">
        <v>98</v>
      </c>
      <c r="L7" s="4" t="s">
        <v>99</v>
      </c>
      <c r="M7" s="4" t="s">
        <v>100</v>
      </c>
      <c r="N7" s="4" t="s">
        <v>101</v>
      </c>
      <c r="O7" s="4" t="s">
        <v>102</v>
      </c>
      <c r="P7" s="4" t="s">
        <v>103</v>
      </c>
      <c r="Q7" s="1" t="s">
        <v>104</v>
      </c>
      <c r="R7" s="1" t="s">
        <v>105</v>
      </c>
      <c r="S7" s="1" t="s">
        <v>106</v>
      </c>
      <c r="T7" s="1" t="s">
        <v>107</v>
      </c>
      <c r="U7" s="1" t="s">
        <v>108</v>
      </c>
      <c r="V7" s="1" t="s">
        <v>109</v>
      </c>
    </row>
    <row r="8" spans="1:22" ht="37.5" customHeight="1">
      <c r="A8" s="1" t="s">
        <v>22</v>
      </c>
      <c r="B8" s="1" t="b">
        <v>1</v>
      </c>
      <c r="C8" s="1" t="b">
        <v>1</v>
      </c>
      <c r="D8" s="3">
        <v>44746</v>
      </c>
      <c r="E8" s="1" t="s">
        <v>110</v>
      </c>
      <c r="F8" s="1">
        <v>2022</v>
      </c>
      <c r="G8" s="1" t="s">
        <v>111</v>
      </c>
      <c r="H8" s="1" t="s">
        <v>112</v>
      </c>
      <c r="I8" s="1" t="s">
        <v>26</v>
      </c>
      <c r="J8" s="2" t="s">
        <v>113</v>
      </c>
      <c r="K8" s="1" t="s">
        <v>114</v>
      </c>
      <c r="L8" s="7" t="s">
        <v>115</v>
      </c>
      <c r="M8" s="4" t="s">
        <v>116</v>
      </c>
      <c r="N8" s="7" t="s">
        <v>117</v>
      </c>
      <c r="O8" s="1"/>
      <c r="P8" s="1"/>
      <c r="Q8" s="1"/>
      <c r="R8" s="1" t="s">
        <v>118</v>
      </c>
      <c r="S8" s="1" t="s">
        <v>119</v>
      </c>
      <c r="T8" s="1" t="s">
        <v>120</v>
      </c>
      <c r="U8" s="1" t="s">
        <v>121</v>
      </c>
      <c r="V8" s="1" t="s">
        <v>122</v>
      </c>
    </row>
    <row r="9" spans="1:22" ht="37.5" customHeight="1">
      <c r="A9" s="1" t="s">
        <v>22</v>
      </c>
      <c r="B9" s="1" t="b">
        <v>1</v>
      </c>
      <c r="C9" s="1" t="b">
        <v>1</v>
      </c>
      <c r="D9" s="3">
        <v>44439</v>
      </c>
      <c r="E9" s="1" t="s">
        <v>123</v>
      </c>
      <c r="F9" s="1">
        <v>2021</v>
      </c>
      <c r="G9" s="1" t="s">
        <v>124</v>
      </c>
      <c r="H9" s="1" t="s">
        <v>125</v>
      </c>
      <c r="I9" s="1" t="s">
        <v>68</v>
      </c>
      <c r="J9" s="2" t="s">
        <v>126</v>
      </c>
      <c r="K9" s="1" t="s">
        <v>127</v>
      </c>
      <c r="L9" s="5" t="s">
        <v>128</v>
      </c>
      <c r="M9" s="1"/>
      <c r="N9" s="4" t="s">
        <v>129</v>
      </c>
      <c r="O9" s="1"/>
      <c r="P9" s="1"/>
      <c r="Q9" s="1"/>
      <c r="R9" s="1" t="s">
        <v>130</v>
      </c>
      <c r="S9" s="1" t="s">
        <v>131</v>
      </c>
      <c r="T9" s="1" t="s">
        <v>132</v>
      </c>
      <c r="U9" s="1" t="s">
        <v>133</v>
      </c>
      <c r="V9" s="1" t="s">
        <v>134</v>
      </c>
    </row>
    <row r="10" spans="1:22" ht="37.5" customHeight="1">
      <c r="A10" s="1" t="s">
        <v>22</v>
      </c>
      <c r="B10" s="1" t="b">
        <v>1</v>
      </c>
      <c r="C10" s="1" t="b">
        <v>1</v>
      </c>
      <c r="D10" s="3">
        <v>44106</v>
      </c>
      <c r="E10" s="1" t="s">
        <v>135</v>
      </c>
      <c r="F10" s="1">
        <v>2020</v>
      </c>
      <c r="G10" s="1" t="s">
        <v>136</v>
      </c>
      <c r="H10" s="1" t="s">
        <v>137</v>
      </c>
      <c r="I10" s="1" t="s">
        <v>138</v>
      </c>
      <c r="J10" s="2" t="s">
        <v>139</v>
      </c>
      <c r="K10" s="1" t="s">
        <v>140</v>
      </c>
      <c r="L10" s="5" t="s">
        <v>141</v>
      </c>
      <c r="M10" s="1"/>
      <c r="N10" s="4" t="s">
        <v>142</v>
      </c>
      <c r="O10" s="1"/>
      <c r="P10" s="1"/>
      <c r="Q10" s="1"/>
      <c r="R10" s="1" t="s">
        <v>143</v>
      </c>
      <c r="S10" s="1" t="s">
        <v>144</v>
      </c>
      <c r="T10" s="1" t="s">
        <v>145</v>
      </c>
      <c r="U10" s="1" t="s">
        <v>146</v>
      </c>
      <c r="V10" s="1" t="s">
        <v>147</v>
      </c>
    </row>
    <row r="11" spans="1:22" ht="37.5" customHeight="1">
      <c r="A11" s="1" t="s">
        <v>22</v>
      </c>
      <c r="B11" s="1" t="b">
        <v>1</v>
      </c>
      <c r="C11" s="1" t="b">
        <v>1</v>
      </c>
      <c r="D11" s="3">
        <v>44081</v>
      </c>
      <c r="E11" s="1" t="s">
        <v>148</v>
      </c>
      <c r="F11" s="1">
        <v>2020</v>
      </c>
      <c r="G11" s="1" t="s">
        <v>111</v>
      </c>
      <c r="H11" s="1" t="s">
        <v>149</v>
      </c>
      <c r="I11" s="1" t="s">
        <v>26</v>
      </c>
      <c r="J11" s="2" t="s">
        <v>150</v>
      </c>
      <c r="K11" s="1" t="s">
        <v>151</v>
      </c>
      <c r="L11" s="5" t="s">
        <v>152</v>
      </c>
      <c r="M11" s="4" t="s">
        <v>153</v>
      </c>
      <c r="N11" s="5" t="s">
        <v>154</v>
      </c>
      <c r="O11" s="1"/>
      <c r="P11" s="1"/>
      <c r="Q11" s="1"/>
      <c r="R11" s="1" t="s">
        <v>155</v>
      </c>
      <c r="S11" s="1" t="s">
        <v>156</v>
      </c>
      <c r="T11" s="1" t="s">
        <v>157</v>
      </c>
      <c r="U11" s="1" t="s">
        <v>158</v>
      </c>
      <c r="V11" s="1" t="s">
        <v>159</v>
      </c>
    </row>
    <row r="12" spans="1:22" ht="37.5" customHeight="1">
      <c r="A12" s="1" t="s">
        <v>22</v>
      </c>
      <c r="B12" s="1" t="b">
        <v>1</v>
      </c>
      <c r="C12" s="1" t="b">
        <v>1</v>
      </c>
      <c r="D12" s="3">
        <v>43784</v>
      </c>
      <c r="E12" s="1" t="s">
        <v>160</v>
      </c>
      <c r="F12" s="1">
        <v>2019</v>
      </c>
      <c r="G12" s="1" t="s">
        <v>161</v>
      </c>
      <c r="H12" s="1" t="s">
        <v>162</v>
      </c>
      <c r="I12" s="1" t="s">
        <v>163</v>
      </c>
      <c r="J12" s="2" t="s">
        <v>164</v>
      </c>
      <c r="K12" s="1" t="s">
        <v>165</v>
      </c>
      <c r="L12" s="5" t="s">
        <v>166</v>
      </c>
      <c r="M12" s="1"/>
      <c r="N12" s="4" t="s">
        <v>167</v>
      </c>
      <c r="O12" s="1"/>
      <c r="P12" s="1"/>
      <c r="Q12" s="1"/>
      <c r="R12" s="1" t="s">
        <v>168</v>
      </c>
      <c r="S12" s="1" t="s">
        <v>169</v>
      </c>
      <c r="T12" s="1" t="s">
        <v>170</v>
      </c>
      <c r="U12" s="1" t="s">
        <v>171</v>
      </c>
      <c r="V12" s="1" t="s">
        <v>172</v>
      </c>
    </row>
    <row r="13" spans="1:22" ht="37.5" customHeight="1">
      <c r="A13" s="1" t="s">
        <v>22</v>
      </c>
      <c r="B13" s="1" t="b">
        <v>1</v>
      </c>
      <c r="C13" s="1" t="b">
        <v>1</v>
      </c>
      <c r="D13" s="3">
        <v>43637</v>
      </c>
      <c r="E13" s="1" t="s">
        <v>173</v>
      </c>
      <c r="F13" s="1">
        <v>2019</v>
      </c>
      <c r="G13" s="1" t="s">
        <v>174</v>
      </c>
      <c r="H13" s="1" t="s">
        <v>175</v>
      </c>
      <c r="I13" s="1" t="s">
        <v>176</v>
      </c>
      <c r="J13" s="2" t="s">
        <v>177</v>
      </c>
      <c r="K13" s="1" t="s">
        <v>178</v>
      </c>
      <c r="L13" s="5" t="s">
        <v>179</v>
      </c>
      <c r="M13" s="1"/>
      <c r="N13" s="5" t="s">
        <v>180</v>
      </c>
      <c r="O13" s="1"/>
      <c r="P13" s="1"/>
      <c r="Q13" s="1"/>
      <c r="R13" s="1" t="s">
        <v>181</v>
      </c>
      <c r="S13" s="1" t="s">
        <v>182</v>
      </c>
      <c r="T13" s="1" t="s">
        <v>183</v>
      </c>
      <c r="U13" s="1" t="s">
        <v>184</v>
      </c>
      <c r="V13" s="1" t="s">
        <v>185</v>
      </c>
    </row>
    <row r="14" spans="1:22" ht="37.5" customHeight="1">
      <c r="A14" s="1" t="s">
        <v>22</v>
      </c>
      <c r="B14" s="1" t="b">
        <v>1</v>
      </c>
      <c r="C14" s="1" t="b">
        <v>1</v>
      </c>
      <c r="D14" s="3">
        <v>43334</v>
      </c>
      <c r="E14" s="1" t="s">
        <v>186</v>
      </c>
      <c r="F14" s="1">
        <v>2019</v>
      </c>
      <c r="G14" s="1" t="s">
        <v>187</v>
      </c>
      <c r="H14" s="1" t="s">
        <v>188</v>
      </c>
      <c r="I14" s="1" t="s">
        <v>189</v>
      </c>
      <c r="J14" s="2" t="s">
        <v>190</v>
      </c>
      <c r="K14" s="1" t="s">
        <v>191</v>
      </c>
      <c r="L14" s="5" t="s">
        <v>192</v>
      </c>
      <c r="M14" s="1"/>
      <c r="N14" s="5" t="s">
        <v>193</v>
      </c>
      <c r="O14" s="1"/>
      <c r="P14" s="1"/>
      <c r="Q14" s="1"/>
      <c r="R14" s="1" t="s">
        <v>194</v>
      </c>
      <c r="S14" s="1" t="s">
        <v>195</v>
      </c>
      <c r="T14" s="1" t="s">
        <v>196</v>
      </c>
      <c r="U14" s="1" t="s">
        <v>197</v>
      </c>
      <c r="V14" s="1" t="s">
        <v>198</v>
      </c>
    </row>
    <row r="15" spans="1:22" ht="37.5" customHeight="1">
      <c r="A15" s="1" t="s">
        <v>22</v>
      </c>
      <c r="B15" s="1" t="b">
        <v>1</v>
      </c>
      <c r="C15" s="1" t="b">
        <v>1</v>
      </c>
      <c r="D15" s="3">
        <v>43116</v>
      </c>
      <c r="E15" s="1" t="s">
        <v>199</v>
      </c>
      <c r="F15" s="1">
        <v>2018</v>
      </c>
      <c r="G15" s="1" t="s">
        <v>200</v>
      </c>
      <c r="H15" s="1" t="s">
        <v>201</v>
      </c>
      <c r="I15" s="1" t="s">
        <v>202</v>
      </c>
      <c r="J15" s="2" t="s">
        <v>203</v>
      </c>
      <c r="K15" s="1" t="s">
        <v>204</v>
      </c>
      <c r="L15" s="5" t="s">
        <v>205</v>
      </c>
      <c r="M15" s="1"/>
      <c r="N15" s="5" t="s">
        <v>206</v>
      </c>
      <c r="O15" s="5" t="s">
        <v>207</v>
      </c>
      <c r="P15" s="1"/>
      <c r="Q15" s="1"/>
      <c r="R15" s="1" t="s">
        <v>208</v>
      </c>
      <c r="S15" s="1" t="s">
        <v>209</v>
      </c>
      <c r="T15" s="1" t="s">
        <v>210</v>
      </c>
      <c r="U15" s="1" t="s">
        <v>211</v>
      </c>
      <c r="V15" s="1" t="s">
        <v>212</v>
      </c>
    </row>
    <row r="16" spans="1:22" ht="37.5" customHeight="1">
      <c r="A16" s="1" t="s">
        <v>22</v>
      </c>
      <c r="B16" s="1" t="b">
        <v>1</v>
      </c>
      <c r="C16" s="1" t="b">
        <v>1</v>
      </c>
      <c r="D16" s="3">
        <v>42015</v>
      </c>
      <c r="E16" s="1" t="s">
        <v>213</v>
      </c>
      <c r="F16" s="1">
        <v>2015</v>
      </c>
      <c r="G16" s="1" t="s">
        <v>214</v>
      </c>
      <c r="H16" s="1" t="s">
        <v>215</v>
      </c>
      <c r="I16" s="1" t="s">
        <v>216</v>
      </c>
      <c r="J16" s="2" t="s">
        <v>217</v>
      </c>
      <c r="K16" s="1" t="s">
        <v>218</v>
      </c>
      <c r="L16" s="5" t="s">
        <v>219</v>
      </c>
      <c r="M16" s="4" t="s">
        <v>220</v>
      </c>
      <c r="N16" s="5" t="s">
        <v>221</v>
      </c>
      <c r="O16" s="5" t="s">
        <v>222</v>
      </c>
      <c r="P16" s="5" t="s">
        <v>223</v>
      </c>
      <c r="Q16" s="1" t="s">
        <v>224</v>
      </c>
      <c r="R16" s="1" t="s">
        <v>225</v>
      </c>
      <c r="S16" s="1" t="s">
        <v>226</v>
      </c>
      <c r="T16" s="1" t="s">
        <v>227</v>
      </c>
      <c r="U16" s="1" t="s">
        <v>228</v>
      </c>
      <c r="V16" s="1" t="s">
        <v>229</v>
      </c>
    </row>
    <row r="17" spans="1:22" ht="37.5" customHeight="1">
      <c r="A17" s="8" t="s">
        <v>230</v>
      </c>
      <c r="B17" s="8" t="b">
        <v>0</v>
      </c>
      <c r="C17" s="8" t="b">
        <v>0</v>
      </c>
      <c r="D17" s="9"/>
      <c r="E17" s="9" t="s">
        <v>231</v>
      </c>
      <c r="F17" s="1">
        <v>2024</v>
      </c>
      <c r="G17" s="8" t="s">
        <v>232</v>
      </c>
      <c r="H17" s="8" t="s">
        <v>233</v>
      </c>
      <c r="I17" s="8" t="s">
        <v>234</v>
      </c>
      <c r="J17" s="10"/>
      <c r="K17" s="9"/>
      <c r="L17" s="11" t="s">
        <v>235</v>
      </c>
      <c r="M17" s="11" t="s">
        <v>236</v>
      </c>
      <c r="N17" s="9"/>
      <c r="O17" s="9"/>
      <c r="P17" s="9"/>
      <c r="Q17" s="9"/>
      <c r="R17" s="8" t="s">
        <v>237</v>
      </c>
      <c r="S17" s="8" t="s">
        <v>238</v>
      </c>
      <c r="T17" s="8" t="s">
        <v>239</v>
      </c>
      <c r="U17" s="8" t="s">
        <v>240</v>
      </c>
      <c r="V17" s="9"/>
    </row>
    <row r="18" spans="1:22" ht="37.5" customHeight="1">
      <c r="A18" s="8" t="s">
        <v>230</v>
      </c>
      <c r="B18" s="8" t="b">
        <v>0</v>
      </c>
      <c r="C18" s="8" t="b">
        <v>0</v>
      </c>
      <c r="D18" s="9"/>
      <c r="E18" s="9"/>
      <c r="F18" s="1">
        <v>2024</v>
      </c>
      <c r="G18" s="1" t="s">
        <v>241</v>
      </c>
      <c r="H18" s="8" t="s">
        <v>242</v>
      </c>
      <c r="I18" s="1" t="s">
        <v>243</v>
      </c>
      <c r="J18" s="10"/>
      <c r="K18" s="9"/>
      <c r="L18" s="9"/>
      <c r="M18" s="9"/>
      <c r="N18" s="9"/>
      <c r="O18" s="9"/>
      <c r="P18" s="9"/>
      <c r="Q18" s="9"/>
      <c r="R18" s="8"/>
      <c r="S18" s="8"/>
      <c r="T18" s="8"/>
      <c r="U18" s="9"/>
      <c r="V18" s="9"/>
    </row>
    <row r="19" spans="1:22" ht="37.5" customHeight="1">
      <c r="A19" s="8" t="s">
        <v>230</v>
      </c>
      <c r="B19" s="8" t="b">
        <v>0</v>
      </c>
      <c r="C19" s="8" t="b">
        <v>0</v>
      </c>
      <c r="E19" s="9"/>
      <c r="F19" s="1">
        <v>2024</v>
      </c>
      <c r="G19" s="1" t="s">
        <v>244</v>
      </c>
      <c r="H19" s="8" t="s">
        <v>245</v>
      </c>
      <c r="I19" s="1" t="s">
        <v>243</v>
      </c>
      <c r="J19" s="10"/>
      <c r="K19" s="9"/>
      <c r="L19" s="9"/>
      <c r="M19" s="9"/>
      <c r="N19" s="9"/>
      <c r="O19" s="9"/>
      <c r="P19" s="9"/>
      <c r="Q19" s="9"/>
      <c r="R19" s="8"/>
      <c r="S19" s="8"/>
      <c r="T19" s="8"/>
      <c r="U19" s="9"/>
      <c r="V19" s="9"/>
    </row>
    <row r="20" spans="1:22" ht="37.5" customHeight="1">
      <c r="A20" s="8" t="s">
        <v>230</v>
      </c>
      <c r="B20" s="8" t="b">
        <v>0</v>
      </c>
      <c r="C20" s="8" t="b">
        <v>0</v>
      </c>
      <c r="D20" s="9"/>
      <c r="E20" s="9"/>
      <c r="F20" s="1">
        <v>2024</v>
      </c>
      <c r="G20" s="1" t="s">
        <v>246</v>
      </c>
      <c r="H20" s="8" t="s">
        <v>247</v>
      </c>
      <c r="I20" s="1" t="s">
        <v>243</v>
      </c>
      <c r="J20" s="2"/>
      <c r="K20" s="1"/>
      <c r="L20" s="1"/>
      <c r="M20" s="1"/>
      <c r="N20" s="1"/>
      <c r="O20" s="1"/>
      <c r="P20" s="1"/>
      <c r="Q20" s="1"/>
      <c r="R20" s="1"/>
      <c r="S20" s="1"/>
      <c r="T20" s="1"/>
      <c r="U20" s="1"/>
      <c r="V20" s="1"/>
    </row>
    <row r="21" spans="1:22" ht="37.5" customHeight="1">
      <c r="A21" s="1" t="s">
        <v>230</v>
      </c>
      <c r="B21" s="1" t="b">
        <v>0</v>
      </c>
      <c r="C21" s="1" t="b">
        <v>0</v>
      </c>
      <c r="D21" s="1"/>
      <c r="E21" s="1"/>
      <c r="F21" s="1">
        <v>2024</v>
      </c>
      <c r="G21" s="1" t="s">
        <v>248</v>
      </c>
      <c r="H21" s="1" t="s">
        <v>249</v>
      </c>
      <c r="I21" s="1" t="s">
        <v>243</v>
      </c>
      <c r="J21" s="2"/>
      <c r="K21" s="1"/>
      <c r="L21" s="1"/>
      <c r="M21" s="1"/>
      <c r="N21" s="1"/>
      <c r="O21" s="1"/>
      <c r="P21" s="1"/>
      <c r="Q21" s="1"/>
      <c r="R21" s="1" t="s">
        <v>250</v>
      </c>
      <c r="S21" s="1" t="s">
        <v>251</v>
      </c>
      <c r="T21" s="1" t="s">
        <v>252</v>
      </c>
      <c r="U21" s="1"/>
      <c r="V21" s="1"/>
    </row>
    <row r="22" spans="1:22" ht="37.5" customHeight="1">
      <c r="A22" s="1" t="s">
        <v>253</v>
      </c>
      <c r="B22" s="1" t="b">
        <v>0</v>
      </c>
      <c r="C22" s="1" t="b">
        <v>0</v>
      </c>
      <c r="D22" s="3">
        <v>45070</v>
      </c>
      <c r="E22" s="1" t="s">
        <v>254</v>
      </c>
      <c r="F22" s="1">
        <v>2023</v>
      </c>
      <c r="G22" s="1" t="s">
        <v>244</v>
      </c>
      <c r="H22" s="1" t="s">
        <v>255</v>
      </c>
      <c r="I22" s="1" t="s">
        <v>256</v>
      </c>
      <c r="J22" s="2" t="s">
        <v>257</v>
      </c>
      <c r="K22" s="1"/>
      <c r="L22" s="12"/>
      <c r="M22" s="1"/>
      <c r="N22" s="4" t="s">
        <v>258</v>
      </c>
      <c r="O22" s="1"/>
      <c r="P22" s="1"/>
      <c r="Q22" s="1"/>
      <c r="R22" s="1" t="s">
        <v>259</v>
      </c>
      <c r="S22" s="1" t="s">
        <v>260</v>
      </c>
      <c r="T22" s="1" t="s">
        <v>261</v>
      </c>
      <c r="U22" s="1"/>
      <c r="V22" s="1"/>
    </row>
    <row r="23" spans="1:22" ht="37.5" customHeight="1">
      <c r="A23" s="1" t="s">
        <v>253</v>
      </c>
      <c r="B23" s="1" t="b">
        <v>0</v>
      </c>
      <c r="C23" s="1" t="b">
        <v>0</v>
      </c>
      <c r="D23" s="3"/>
      <c r="E23" s="1"/>
      <c r="F23" s="1">
        <v>2023</v>
      </c>
      <c r="G23" s="1" t="s">
        <v>262</v>
      </c>
      <c r="H23" s="1" t="s">
        <v>39</v>
      </c>
      <c r="I23" s="1" t="s">
        <v>263</v>
      </c>
      <c r="J23" s="2" t="s">
        <v>264</v>
      </c>
      <c r="K23" s="1"/>
      <c r="L23" s="1"/>
      <c r="M23" s="1"/>
      <c r="N23" s="5" t="s">
        <v>265</v>
      </c>
      <c r="O23" s="1"/>
      <c r="P23" s="1"/>
      <c r="Q23" s="1"/>
      <c r="R23" s="1" t="s">
        <v>46</v>
      </c>
      <c r="S23" s="1" t="s">
        <v>47</v>
      </c>
      <c r="T23" s="1" t="s">
        <v>48</v>
      </c>
      <c r="U23" s="1"/>
      <c r="V23" s="1"/>
    </row>
    <row r="24" spans="1:22" ht="37.5" customHeight="1">
      <c r="A24" s="1" t="s">
        <v>253</v>
      </c>
      <c r="B24" s="1" t="b">
        <v>0</v>
      </c>
      <c r="C24" s="1" t="b">
        <v>0</v>
      </c>
      <c r="D24" s="1"/>
      <c r="E24" s="1" t="s">
        <v>266</v>
      </c>
      <c r="F24" s="1">
        <v>2022</v>
      </c>
      <c r="G24" s="1" t="s">
        <v>79</v>
      </c>
      <c r="H24" s="1" t="s">
        <v>267</v>
      </c>
      <c r="I24" s="1" t="s">
        <v>268</v>
      </c>
      <c r="J24" s="2" t="s">
        <v>269</v>
      </c>
      <c r="K24" s="1"/>
      <c r="L24" s="1"/>
      <c r="M24" s="1"/>
      <c r="N24" s="5" t="s">
        <v>270</v>
      </c>
      <c r="O24" s="1"/>
      <c r="P24" s="1"/>
      <c r="Q24" s="1"/>
      <c r="R24" s="1" t="s">
        <v>271</v>
      </c>
      <c r="S24" s="1" t="s">
        <v>272</v>
      </c>
      <c r="T24" s="1" t="s">
        <v>273</v>
      </c>
      <c r="U24" s="1" t="s">
        <v>274</v>
      </c>
      <c r="V24" s="1" t="s">
        <v>275</v>
      </c>
    </row>
    <row r="25" spans="1:22" ht="37.5" customHeight="1">
      <c r="A25" s="1" t="s">
        <v>253</v>
      </c>
      <c r="B25" s="1" t="b">
        <v>0</v>
      </c>
      <c r="C25" s="1" t="b">
        <v>0</v>
      </c>
      <c r="D25" s="1"/>
      <c r="E25" s="1"/>
      <c r="F25" s="1">
        <v>2022</v>
      </c>
      <c r="G25" s="1" t="s">
        <v>79</v>
      </c>
      <c r="H25" s="1" t="s">
        <v>276</v>
      </c>
      <c r="I25" s="1" t="s">
        <v>277</v>
      </c>
      <c r="J25" s="2" t="s">
        <v>278</v>
      </c>
      <c r="K25" s="1"/>
      <c r="L25" s="4" t="s">
        <v>279</v>
      </c>
      <c r="M25" s="7" t="s">
        <v>280</v>
      </c>
      <c r="N25" s="4" t="s">
        <v>281</v>
      </c>
      <c r="O25" s="1"/>
      <c r="P25" s="1"/>
      <c r="Q25" s="1"/>
      <c r="R25" s="1" t="s">
        <v>282</v>
      </c>
      <c r="S25" s="1" t="s">
        <v>283</v>
      </c>
      <c r="T25" s="1" t="s">
        <v>284</v>
      </c>
      <c r="U25" s="4" t="s">
        <v>285</v>
      </c>
      <c r="V25" s="1"/>
    </row>
    <row r="26" spans="1:22" ht="37.5" customHeight="1">
      <c r="A26" s="1" t="s">
        <v>253</v>
      </c>
      <c r="B26" s="1" t="b">
        <v>0</v>
      </c>
      <c r="C26" s="1" t="b">
        <v>0</v>
      </c>
      <c r="D26" s="1"/>
      <c r="E26" s="1"/>
      <c r="F26" s="1">
        <v>2021</v>
      </c>
      <c r="G26" s="1" t="s">
        <v>79</v>
      </c>
      <c r="H26" s="1" t="s">
        <v>286</v>
      </c>
      <c r="I26" s="1" t="s">
        <v>277</v>
      </c>
      <c r="J26" s="2" t="s">
        <v>287</v>
      </c>
      <c r="K26" s="1"/>
      <c r="L26" s="4" t="s">
        <v>288</v>
      </c>
      <c r="M26" s="4" t="s">
        <v>289</v>
      </c>
      <c r="N26" s="4" t="s">
        <v>290</v>
      </c>
      <c r="O26" s="1"/>
      <c r="P26" s="1"/>
      <c r="Q26" s="1"/>
      <c r="R26" s="1" t="s">
        <v>88</v>
      </c>
      <c r="S26" s="1" t="s">
        <v>89</v>
      </c>
      <c r="T26" s="1" t="s">
        <v>90</v>
      </c>
      <c r="U26" s="1" t="s">
        <v>91</v>
      </c>
      <c r="V26" s="1"/>
    </row>
    <row r="27" spans="1:22" ht="37.5" customHeight="1">
      <c r="A27" s="1" t="s">
        <v>253</v>
      </c>
      <c r="B27" s="1" t="b">
        <v>0</v>
      </c>
      <c r="C27" s="1" t="b">
        <v>0</v>
      </c>
      <c r="D27" s="1"/>
      <c r="E27" s="1" t="s">
        <v>291</v>
      </c>
      <c r="F27" s="1">
        <v>2018</v>
      </c>
      <c r="G27" s="1" t="s">
        <v>292</v>
      </c>
      <c r="H27" s="1" t="s">
        <v>293</v>
      </c>
      <c r="I27" s="1" t="s">
        <v>294</v>
      </c>
      <c r="J27" s="2" t="s">
        <v>295</v>
      </c>
      <c r="K27" s="1" t="s">
        <v>296</v>
      </c>
      <c r="L27" s="5" t="s">
        <v>297</v>
      </c>
      <c r="M27" s="1"/>
      <c r="N27" s="4" t="s">
        <v>298</v>
      </c>
      <c r="O27" s="1"/>
      <c r="P27" s="1"/>
      <c r="Q27" s="1"/>
      <c r="R27" s="1" t="s">
        <v>299</v>
      </c>
      <c r="S27" s="1" t="s">
        <v>300</v>
      </c>
      <c r="T27" s="1" t="s">
        <v>301</v>
      </c>
      <c r="U27" s="1"/>
      <c r="V27" s="1"/>
    </row>
    <row r="28" spans="1:22" ht="37.5" customHeight="1">
      <c r="A28" s="1" t="s">
        <v>253</v>
      </c>
      <c r="B28" s="1" t="b">
        <v>0</v>
      </c>
      <c r="C28" s="1" t="b">
        <v>0</v>
      </c>
      <c r="D28" s="1"/>
      <c r="E28" s="1"/>
      <c r="F28" s="1">
        <v>2016</v>
      </c>
      <c r="G28" s="1" t="s">
        <v>187</v>
      </c>
      <c r="H28" s="1" t="s">
        <v>302</v>
      </c>
      <c r="I28" s="1" t="s">
        <v>303</v>
      </c>
      <c r="J28" s="2" t="s">
        <v>304</v>
      </c>
      <c r="K28" s="1"/>
      <c r="L28" s="1"/>
      <c r="M28" s="1"/>
      <c r="N28" s="4" t="s">
        <v>305</v>
      </c>
      <c r="O28" s="1"/>
      <c r="P28" s="5" t="s">
        <v>306</v>
      </c>
      <c r="Q28" s="1" t="s">
        <v>307</v>
      </c>
      <c r="R28" s="1" t="s">
        <v>194</v>
      </c>
      <c r="S28" s="1" t="s">
        <v>195</v>
      </c>
      <c r="T28" s="1" t="s">
        <v>196</v>
      </c>
      <c r="U28" s="1"/>
      <c r="V28" s="1"/>
    </row>
    <row r="29" spans="1:22" ht="37.5" customHeight="1">
      <c r="A29" s="1" t="s">
        <v>253</v>
      </c>
      <c r="B29" s="1" t="b">
        <v>0</v>
      </c>
      <c r="C29" s="1" t="b">
        <v>0</v>
      </c>
      <c r="D29" s="1"/>
      <c r="E29" s="1"/>
      <c r="F29" s="1">
        <v>2014</v>
      </c>
      <c r="G29" s="1" t="s">
        <v>214</v>
      </c>
      <c r="H29" s="1" t="s">
        <v>215</v>
      </c>
      <c r="I29" s="1" t="s">
        <v>263</v>
      </c>
      <c r="J29" s="2" t="s">
        <v>308</v>
      </c>
      <c r="K29" s="1"/>
      <c r="L29" s="1"/>
      <c r="M29" s="1"/>
      <c r="N29" s="4" t="s">
        <v>309</v>
      </c>
      <c r="O29" s="1"/>
      <c r="P29" s="1"/>
      <c r="Q29" s="1"/>
      <c r="R29" s="1" t="s">
        <v>225</v>
      </c>
      <c r="S29" s="1" t="s">
        <v>226</v>
      </c>
      <c r="T29" s="1" t="s">
        <v>227</v>
      </c>
      <c r="U29" s="1"/>
      <c r="V29" s="1"/>
    </row>
    <row r="30" spans="1:22" ht="37.5" customHeight="1">
      <c r="A30" s="1" t="s">
        <v>310</v>
      </c>
      <c r="B30" s="1" t="b">
        <v>0</v>
      </c>
      <c r="C30" s="1" t="b">
        <v>0</v>
      </c>
      <c r="D30" s="3">
        <v>45231</v>
      </c>
      <c r="E30" s="13"/>
      <c r="F30" s="1">
        <v>2023</v>
      </c>
      <c r="G30" s="1" t="s">
        <v>244</v>
      </c>
      <c r="H30" s="1" t="s">
        <v>311</v>
      </c>
      <c r="I30" s="1" t="s">
        <v>312</v>
      </c>
      <c r="J30" s="2" t="s">
        <v>313</v>
      </c>
      <c r="K30" s="1"/>
      <c r="L30" s="12"/>
      <c r="M30" s="1"/>
      <c r="N30" s="4" t="s">
        <v>314</v>
      </c>
      <c r="O30" s="1"/>
      <c r="P30" s="1"/>
      <c r="Q30" s="1"/>
      <c r="R30" s="1" t="s">
        <v>259</v>
      </c>
      <c r="S30" s="1" t="s">
        <v>260</v>
      </c>
      <c r="T30" s="1" t="s">
        <v>261</v>
      </c>
      <c r="U30" s="1"/>
      <c r="V30" s="1"/>
    </row>
    <row r="31" spans="1:22" ht="37.5" customHeight="1">
      <c r="A31" s="1" t="s">
        <v>310</v>
      </c>
      <c r="B31" s="1" t="b">
        <v>0</v>
      </c>
      <c r="C31" s="1" t="b">
        <v>0</v>
      </c>
      <c r="D31" s="3">
        <v>44197</v>
      </c>
      <c r="E31" s="1" t="s">
        <v>315</v>
      </c>
      <c r="F31" s="1">
        <v>2021</v>
      </c>
      <c r="G31" s="1" t="s">
        <v>316</v>
      </c>
      <c r="H31" s="1" t="s">
        <v>317</v>
      </c>
      <c r="I31" s="1" t="s">
        <v>318</v>
      </c>
      <c r="J31" s="2" t="s">
        <v>319</v>
      </c>
      <c r="K31" s="1"/>
      <c r="L31" s="7" t="s">
        <v>320</v>
      </c>
      <c r="M31" s="1"/>
      <c r="N31" s="4" t="s">
        <v>321</v>
      </c>
      <c r="O31" s="1"/>
      <c r="P31" s="1"/>
      <c r="Q31" s="1"/>
      <c r="R31" s="1" t="s">
        <v>322</v>
      </c>
      <c r="S31" s="1" t="s">
        <v>323</v>
      </c>
      <c r="T31" s="1" t="s">
        <v>324</v>
      </c>
      <c r="U31" s="1"/>
      <c r="V31" s="1"/>
    </row>
    <row r="32" spans="1:22" ht="37.5" customHeight="1">
      <c r="A32" s="1" t="s">
        <v>310</v>
      </c>
      <c r="B32" s="1" t="b">
        <v>0</v>
      </c>
      <c r="C32" s="1" t="b">
        <v>0</v>
      </c>
      <c r="D32" s="3">
        <v>43009</v>
      </c>
      <c r="E32" s="1" t="s">
        <v>325</v>
      </c>
      <c r="F32" s="1">
        <v>2017</v>
      </c>
      <c r="G32" s="1" t="s">
        <v>316</v>
      </c>
      <c r="H32" s="1" t="s">
        <v>326</v>
      </c>
      <c r="I32" s="1" t="s">
        <v>318</v>
      </c>
      <c r="J32" s="2" t="s">
        <v>327</v>
      </c>
      <c r="K32" s="1"/>
      <c r="L32" s="7" t="s">
        <v>328</v>
      </c>
      <c r="M32" s="1"/>
      <c r="N32" s="7" t="s">
        <v>329</v>
      </c>
      <c r="O32" s="1"/>
      <c r="P32" s="1"/>
      <c r="Q32" s="1"/>
      <c r="R32" s="1" t="s">
        <v>330</v>
      </c>
      <c r="S32" s="1" t="s">
        <v>331</v>
      </c>
      <c r="T32" s="1" t="s">
        <v>332</v>
      </c>
      <c r="U32" s="1"/>
      <c r="V32" s="1" t="s">
        <v>333</v>
      </c>
    </row>
    <row r="33" spans="1:22" ht="37.5" customHeight="1">
      <c r="A33" s="1" t="s">
        <v>334</v>
      </c>
      <c r="B33" s="1" t="b">
        <v>0</v>
      </c>
      <c r="C33" s="1" t="b">
        <v>0</v>
      </c>
      <c r="D33" s="3">
        <v>45504</v>
      </c>
      <c r="E33" s="1"/>
      <c r="F33" s="1">
        <v>2024</v>
      </c>
      <c r="G33" s="1" t="s">
        <v>335</v>
      </c>
      <c r="H33" s="1" t="s">
        <v>336</v>
      </c>
      <c r="I33" s="1"/>
      <c r="J33" s="2"/>
      <c r="K33" s="1"/>
      <c r="L33" s="4" t="s">
        <v>337</v>
      </c>
      <c r="M33" s="4" t="s">
        <v>338</v>
      </c>
      <c r="N33" s="1"/>
      <c r="O33" s="1"/>
      <c r="P33" s="1"/>
      <c r="Q33" s="1"/>
      <c r="R33" s="1" t="s">
        <v>339</v>
      </c>
      <c r="S33" s="1" t="s">
        <v>340</v>
      </c>
      <c r="T33" s="1" t="s">
        <v>341</v>
      </c>
      <c r="U33" s="1"/>
      <c r="V33" s="1"/>
    </row>
    <row r="34" spans="1:22" ht="37.5" customHeight="1">
      <c r="A34" s="1" t="s">
        <v>334</v>
      </c>
      <c r="B34" s="1" t="b">
        <v>0</v>
      </c>
      <c r="C34" s="1" t="b">
        <v>0</v>
      </c>
      <c r="D34" s="3">
        <v>44916</v>
      </c>
      <c r="E34" s="1"/>
      <c r="F34" s="1">
        <v>2022</v>
      </c>
      <c r="G34" s="1" t="s">
        <v>316</v>
      </c>
      <c r="H34" s="1" t="s">
        <v>342</v>
      </c>
      <c r="I34" s="1"/>
      <c r="J34" s="2"/>
      <c r="K34" s="1"/>
      <c r="L34" s="5" t="s">
        <v>343</v>
      </c>
      <c r="M34" s="5" t="s">
        <v>344</v>
      </c>
      <c r="N34" s="1"/>
      <c r="O34" s="1"/>
      <c r="P34" s="1"/>
      <c r="Q34" s="1"/>
      <c r="R34" s="1" t="s">
        <v>339</v>
      </c>
      <c r="S34" s="1" t="s">
        <v>345</v>
      </c>
      <c r="T34" s="1" t="s">
        <v>346</v>
      </c>
      <c r="U34" s="1"/>
      <c r="V34" s="1"/>
    </row>
    <row r="35" spans="1:22" ht="37.5" customHeight="1">
      <c r="A35" s="1" t="s">
        <v>334</v>
      </c>
      <c r="B35" s="1" t="b">
        <v>0</v>
      </c>
      <c r="C35" s="1" t="b">
        <v>0</v>
      </c>
      <c r="D35" s="1"/>
      <c r="E35" s="1"/>
      <c r="F35" s="1">
        <v>2019</v>
      </c>
      <c r="G35" s="1" t="s">
        <v>347</v>
      </c>
      <c r="H35" s="1" t="s">
        <v>348</v>
      </c>
      <c r="I35" s="1" t="s">
        <v>349</v>
      </c>
      <c r="J35" s="2" t="s">
        <v>350</v>
      </c>
      <c r="K35" s="1"/>
      <c r="L35" s="5" t="s">
        <v>351</v>
      </c>
      <c r="M35" s="1"/>
      <c r="N35" s="5" t="s">
        <v>352</v>
      </c>
      <c r="O35" s="1"/>
      <c r="P35" s="1"/>
      <c r="Q35" s="1"/>
      <c r="R35" s="1"/>
      <c r="S35" s="1"/>
      <c r="T35" s="1"/>
      <c r="U35" s="1"/>
      <c r="V35" s="1"/>
    </row>
    <row r="36" spans="1:22" ht="37.5" customHeight="1">
      <c r="A36" s="1" t="s">
        <v>334</v>
      </c>
      <c r="B36" s="1" t="b">
        <v>0</v>
      </c>
      <c r="C36" s="1" t="b">
        <v>0</v>
      </c>
      <c r="D36" s="1"/>
      <c r="E36" s="1"/>
      <c r="F36" s="1">
        <v>2019</v>
      </c>
      <c r="G36" s="1" t="s">
        <v>353</v>
      </c>
      <c r="H36" s="1" t="s">
        <v>354</v>
      </c>
      <c r="I36" s="1" t="s">
        <v>349</v>
      </c>
      <c r="J36" s="2" t="s">
        <v>350</v>
      </c>
      <c r="K36" s="1"/>
      <c r="L36" s="5" t="s">
        <v>351</v>
      </c>
      <c r="M36" s="1"/>
      <c r="N36" s="7" t="s">
        <v>355</v>
      </c>
      <c r="O36" s="1"/>
      <c r="P36" s="1"/>
      <c r="Q36" s="1"/>
      <c r="R36" s="1"/>
      <c r="S36" s="1"/>
      <c r="T36" s="1"/>
      <c r="U36" s="1"/>
      <c r="V36" s="1"/>
    </row>
    <row r="37" spans="1:22" ht="37.5" customHeight="1">
      <c r="A37" s="1" t="s">
        <v>356</v>
      </c>
      <c r="B37" s="1" t="b">
        <v>0</v>
      </c>
      <c r="C37" s="1" t="b">
        <v>0</v>
      </c>
      <c r="D37" s="1"/>
      <c r="E37" s="7"/>
      <c r="F37" s="1">
        <v>2016</v>
      </c>
      <c r="G37" s="1" t="s">
        <v>316</v>
      </c>
      <c r="H37" s="1" t="s">
        <v>357</v>
      </c>
      <c r="I37" s="1" t="s">
        <v>358</v>
      </c>
      <c r="J37" s="2" t="s">
        <v>359</v>
      </c>
      <c r="K37" s="1"/>
      <c r="L37" s="7" t="s">
        <v>360</v>
      </c>
      <c r="M37" s="1"/>
      <c r="N37" s="5" t="s">
        <v>361</v>
      </c>
      <c r="O37" s="7" t="s">
        <v>362</v>
      </c>
      <c r="P37" s="7" t="s">
        <v>363</v>
      </c>
      <c r="Q37" s="1" t="s">
        <v>364</v>
      </c>
      <c r="R37" s="1"/>
      <c r="S37" s="1"/>
      <c r="T37" s="1"/>
      <c r="U37" s="1"/>
      <c r="V37" s="1"/>
    </row>
    <row r="38" spans="1:22" ht="37.5" customHeight="1">
      <c r="A38" s="8" t="s">
        <v>365</v>
      </c>
      <c r="B38" s="8" t="b">
        <v>0</v>
      </c>
      <c r="C38" s="8" t="b">
        <v>0</v>
      </c>
      <c r="D38" s="14"/>
      <c r="E38" s="14"/>
      <c r="F38" s="8">
        <v>2024</v>
      </c>
      <c r="G38" s="8" t="s">
        <v>366</v>
      </c>
      <c r="H38" s="8" t="s">
        <v>367</v>
      </c>
      <c r="I38" s="8" t="s">
        <v>358</v>
      </c>
      <c r="J38" s="15" t="s">
        <v>368</v>
      </c>
      <c r="K38" s="14"/>
      <c r="L38" s="16" t="s">
        <v>369</v>
      </c>
      <c r="M38" s="14"/>
      <c r="N38" s="16" t="s">
        <v>369</v>
      </c>
      <c r="O38" s="17"/>
      <c r="P38" s="17"/>
      <c r="Q38" s="8"/>
      <c r="R38" s="14"/>
      <c r="S38" s="14"/>
      <c r="T38" s="14"/>
      <c r="U38" s="14"/>
      <c r="V38" s="14"/>
    </row>
    <row r="39" spans="1:22" ht="37.5" customHeight="1">
      <c r="A39" s="1" t="s">
        <v>370</v>
      </c>
      <c r="B39" s="1" t="b">
        <v>0</v>
      </c>
      <c r="C39" s="1" t="b">
        <v>0</v>
      </c>
      <c r="D39" s="3">
        <v>45543</v>
      </c>
      <c r="E39" s="1"/>
      <c r="F39" s="1">
        <v>2024</v>
      </c>
      <c r="G39" s="1" t="s">
        <v>371</v>
      </c>
      <c r="H39" s="6" t="s">
        <v>372</v>
      </c>
      <c r="I39" s="1" t="s">
        <v>373</v>
      </c>
      <c r="J39" s="2"/>
      <c r="K39" s="1"/>
      <c r="L39" s="4" t="s">
        <v>374</v>
      </c>
      <c r="M39" s="1"/>
      <c r="N39" s="4" t="s">
        <v>375</v>
      </c>
      <c r="O39" s="1"/>
      <c r="P39" s="1"/>
      <c r="Q39" s="1"/>
      <c r="R39" s="1"/>
      <c r="S39" s="1"/>
      <c r="T39" s="1"/>
      <c r="U39" s="1"/>
      <c r="V39" s="1"/>
    </row>
    <row r="40" spans="1:22" ht="37.5" customHeight="1">
      <c r="A40" s="1" t="s">
        <v>370</v>
      </c>
      <c r="B40" s="1" t="b">
        <v>0</v>
      </c>
      <c r="C40" s="1" t="b">
        <v>0</v>
      </c>
      <c r="D40" s="3">
        <v>45273</v>
      </c>
      <c r="E40" s="1"/>
      <c r="F40" s="1">
        <v>2023</v>
      </c>
      <c r="G40" s="1" t="s">
        <v>316</v>
      </c>
      <c r="H40" s="6" t="s">
        <v>376</v>
      </c>
      <c r="I40" s="1" t="s">
        <v>377</v>
      </c>
      <c r="J40" s="2"/>
      <c r="K40" s="1"/>
      <c r="L40" s="4" t="s">
        <v>378</v>
      </c>
      <c r="M40" s="1"/>
      <c r="N40" s="4" t="s">
        <v>379</v>
      </c>
      <c r="O40" s="1"/>
      <c r="P40" s="1"/>
      <c r="Q40" s="1"/>
      <c r="R40" s="1"/>
      <c r="S40" s="1"/>
      <c r="T40" s="1"/>
      <c r="U40" s="1"/>
      <c r="V40" s="1"/>
    </row>
    <row r="41" spans="1:22" ht="37.5" customHeight="1">
      <c r="A41" s="1" t="s">
        <v>370</v>
      </c>
      <c r="B41" s="1" t="b">
        <v>0</v>
      </c>
      <c r="C41" s="1" t="b">
        <v>0</v>
      </c>
      <c r="D41" s="3">
        <v>44886</v>
      </c>
      <c r="E41" s="1"/>
      <c r="F41" s="1">
        <v>2022</v>
      </c>
      <c r="G41" s="1" t="s">
        <v>94</v>
      </c>
      <c r="H41" s="6" t="s">
        <v>380</v>
      </c>
      <c r="I41" s="1" t="s">
        <v>381</v>
      </c>
      <c r="J41" s="2"/>
      <c r="K41" s="1"/>
      <c r="L41" s="4" t="s">
        <v>382</v>
      </c>
      <c r="M41" s="1"/>
      <c r="N41" s="4" t="s">
        <v>383</v>
      </c>
      <c r="O41" s="1"/>
      <c r="P41" s="1"/>
      <c r="Q41" s="1"/>
      <c r="R41" s="1"/>
      <c r="S41" s="1"/>
      <c r="T41" s="1"/>
      <c r="U41" s="1"/>
      <c r="V41" s="1"/>
    </row>
    <row r="42" spans="1:22" ht="37.5" customHeight="1">
      <c r="A42" s="1" t="s">
        <v>370</v>
      </c>
      <c r="B42" s="1" t="b">
        <v>0</v>
      </c>
      <c r="C42" s="1" t="b">
        <v>0</v>
      </c>
      <c r="D42" s="3">
        <v>44875</v>
      </c>
      <c r="E42" s="1"/>
      <c r="F42" s="1">
        <v>2022</v>
      </c>
      <c r="G42" s="1" t="s">
        <v>316</v>
      </c>
      <c r="H42" s="1" t="s">
        <v>384</v>
      </c>
      <c r="I42" s="1" t="s">
        <v>385</v>
      </c>
      <c r="J42" s="2"/>
      <c r="K42" s="1"/>
      <c r="L42" s="4" t="s">
        <v>386</v>
      </c>
      <c r="M42" s="1"/>
      <c r="N42" s="4" t="s">
        <v>387</v>
      </c>
      <c r="O42" s="1"/>
      <c r="P42" s="1"/>
      <c r="Q42" s="1"/>
      <c r="R42" s="1"/>
      <c r="S42" s="1"/>
      <c r="T42" s="1"/>
      <c r="U42" s="1"/>
      <c r="V42" s="1"/>
    </row>
    <row r="43" spans="1:22" ht="37.5" customHeight="1">
      <c r="A43" s="1" t="s">
        <v>370</v>
      </c>
      <c r="B43" s="1" t="b">
        <v>0</v>
      </c>
      <c r="C43" s="1" t="b">
        <v>0</v>
      </c>
      <c r="D43" s="3">
        <v>44683</v>
      </c>
      <c r="E43" s="1"/>
      <c r="F43" s="1">
        <v>2022</v>
      </c>
      <c r="G43" s="1" t="s">
        <v>316</v>
      </c>
      <c r="H43" s="1" t="s">
        <v>388</v>
      </c>
      <c r="I43" s="1" t="s">
        <v>385</v>
      </c>
      <c r="J43" s="2"/>
      <c r="K43" s="1"/>
      <c r="L43" s="5" t="s">
        <v>389</v>
      </c>
      <c r="M43" s="1"/>
      <c r="N43" s="4" t="s">
        <v>390</v>
      </c>
      <c r="O43" s="1"/>
      <c r="P43" s="1"/>
      <c r="Q43" s="1"/>
      <c r="R43" s="1"/>
      <c r="S43" s="1"/>
      <c r="T43" s="1"/>
      <c r="U43" s="1"/>
      <c r="V43" s="1"/>
    </row>
    <row r="44" spans="1:22" ht="37.5" customHeight="1">
      <c r="A44" s="1" t="s">
        <v>391</v>
      </c>
      <c r="B44" s="1" t="b">
        <v>0</v>
      </c>
      <c r="C44" s="1" t="b">
        <v>0</v>
      </c>
      <c r="D44" s="1"/>
      <c r="E44" s="1"/>
      <c r="F44" s="1">
        <v>2019</v>
      </c>
      <c r="G44" s="1" t="s">
        <v>316</v>
      </c>
      <c r="H44" s="1" t="s">
        <v>392</v>
      </c>
      <c r="I44" s="1" t="s">
        <v>393</v>
      </c>
      <c r="J44" s="2" t="s">
        <v>394</v>
      </c>
      <c r="K44" s="1"/>
      <c r="L44" s="1"/>
      <c r="M44" s="1"/>
      <c r="N44" s="1"/>
      <c r="O44" s="1"/>
      <c r="P44" s="5" t="s">
        <v>395</v>
      </c>
      <c r="Q44" s="1" t="s">
        <v>396</v>
      </c>
      <c r="R44" s="1"/>
      <c r="S44" s="1"/>
      <c r="T44" s="1"/>
      <c r="U44" s="1"/>
      <c r="V44" s="1"/>
    </row>
    <row r="45" spans="1:22" ht="37.5" customHeight="1">
      <c r="A45" s="1" t="s">
        <v>391</v>
      </c>
      <c r="B45" s="1" t="b">
        <v>0</v>
      </c>
      <c r="C45" s="1" t="b">
        <v>0</v>
      </c>
      <c r="D45" s="1"/>
      <c r="E45" s="1"/>
      <c r="F45" s="1">
        <v>2019</v>
      </c>
      <c r="G45" s="1" t="s">
        <v>316</v>
      </c>
      <c r="H45" s="1" t="s">
        <v>397</v>
      </c>
      <c r="I45" s="1" t="s">
        <v>398</v>
      </c>
      <c r="J45" s="2" t="s">
        <v>399</v>
      </c>
      <c r="K45" s="1"/>
      <c r="L45" s="5" t="s">
        <v>400</v>
      </c>
      <c r="M45" s="1"/>
      <c r="N45" s="5" t="s">
        <v>401</v>
      </c>
      <c r="O45" s="1"/>
      <c r="P45" s="1"/>
      <c r="Q45" s="1"/>
      <c r="R45" s="1"/>
      <c r="S45" s="1"/>
      <c r="T45" s="1"/>
      <c r="U45" s="1"/>
      <c r="V45" s="1"/>
    </row>
    <row r="46" spans="1:22" ht="37.5" customHeight="1">
      <c r="A46" s="1" t="s">
        <v>391</v>
      </c>
      <c r="B46" s="1" t="b">
        <v>0</v>
      </c>
      <c r="C46" s="1" t="b">
        <v>0</v>
      </c>
      <c r="D46" s="1"/>
      <c r="E46" s="1"/>
      <c r="F46" s="1">
        <v>2018</v>
      </c>
      <c r="G46" s="1" t="s">
        <v>353</v>
      </c>
      <c r="H46" s="1" t="s">
        <v>402</v>
      </c>
      <c r="I46" s="1" t="s">
        <v>403</v>
      </c>
      <c r="J46" s="2" t="s">
        <v>404</v>
      </c>
      <c r="K46" s="1"/>
      <c r="L46" s="5" t="s">
        <v>405</v>
      </c>
      <c r="M46" s="1"/>
      <c r="N46" s="5" t="s">
        <v>406</v>
      </c>
      <c r="O46" s="1"/>
      <c r="P46" s="1"/>
      <c r="Q46" s="1"/>
      <c r="R46" s="1"/>
      <c r="S46" s="1"/>
      <c r="T46" s="1"/>
      <c r="U46" s="1"/>
      <c r="V46" s="1"/>
    </row>
    <row r="47" spans="1:22" ht="37.5" customHeight="1">
      <c r="A47" s="1" t="s">
        <v>407</v>
      </c>
      <c r="B47" s="1" t="b">
        <v>0</v>
      </c>
      <c r="C47" s="1" t="b">
        <v>0</v>
      </c>
      <c r="D47" s="1"/>
      <c r="E47" s="7"/>
      <c r="F47" s="1">
        <v>2024</v>
      </c>
      <c r="G47" s="1" t="s">
        <v>408</v>
      </c>
      <c r="H47" s="1" t="s">
        <v>409</v>
      </c>
      <c r="I47" s="1"/>
      <c r="J47" s="2" t="s">
        <v>410</v>
      </c>
      <c r="K47" s="1"/>
      <c r="L47" s="1"/>
      <c r="M47" s="1"/>
      <c r="N47" s="1"/>
      <c r="O47" s="1"/>
      <c r="P47" s="4" t="s">
        <v>411</v>
      </c>
      <c r="Q47" s="1" t="s">
        <v>412</v>
      </c>
      <c r="R47" s="1" t="s">
        <v>413</v>
      </c>
      <c r="S47" s="1" t="s">
        <v>414</v>
      </c>
      <c r="T47" s="1" t="s">
        <v>415</v>
      </c>
      <c r="U47" s="1"/>
      <c r="V47" s="1"/>
    </row>
    <row r="48" spans="1:22" ht="37.5" customHeight="1">
      <c r="A48" s="1" t="s">
        <v>407</v>
      </c>
      <c r="B48" s="1" t="b">
        <v>0</v>
      </c>
      <c r="C48" s="1" t="b">
        <v>0</v>
      </c>
      <c r="D48" s="1"/>
      <c r="E48" s="7"/>
      <c r="F48" s="1">
        <v>2021</v>
      </c>
      <c r="G48" s="1" t="s">
        <v>416</v>
      </c>
      <c r="H48" s="1" t="s">
        <v>80</v>
      </c>
      <c r="I48" s="1"/>
      <c r="J48" s="2" t="s">
        <v>410</v>
      </c>
      <c r="K48" s="1"/>
      <c r="L48" s="1"/>
      <c r="M48" s="1"/>
      <c r="N48" s="4" t="s">
        <v>86</v>
      </c>
      <c r="O48" s="1"/>
      <c r="P48" s="4" t="s">
        <v>417</v>
      </c>
      <c r="Q48" s="1" t="s">
        <v>412</v>
      </c>
      <c r="R48" s="1" t="s">
        <v>88</v>
      </c>
      <c r="S48" s="1" t="s">
        <v>89</v>
      </c>
      <c r="T48" s="1" t="s">
        <v>90</v>
      </c>
      <c r="U48" s="1"/>
      <c r="V48" s="1" t="s">
        <v>418</v>
      </c>
    </row>
    <row r="49" spans="1:22" ht="37.5" customHeight="1">
      <c r="A49" s="1" t="s">
        <v>407</v>
      </c>
      <c r="B49" s="1" t="b">
        <v>0</v>
      </c>
      <c r="C49" s="1" t="b">
        <v>0</v>
      </c>
      <c r="D49" s="1"/>
      <c r="E49" s="7"/>
      <c r="F49" s="1">
        <v>2021</v>
      </c>
      <c r="G49" s="1" t="s">
        <v>419</v>
      </c>
      <c r="H49" s="1" t="s">
        <v>420</v>
      </c>
      <c r="I49" s="1"/>
      <c r="J49" s="2" t="s">
        <v>410</v>
      </c>
      <c r="K49" s="1"/>
      <c r="L49" s="1"/>
      <c r="M49" s="1"/>
      <c r="N49" s="1"/>
      <c r="O49" s="1"/>
      <c r="P49" s="7" t="s">
        <v>421</v>
      </c>
      <c r="Q49" s="1" t="s">
        <v>412</v>
      </c>
      <c r="R49" s="1" t="s">
        <v>422</v>
      </c>
      <c r="S49" s="8" t="s">
        <v>423</v>
      </c>
      <c r="T49" s="1" t="s">
        <v>424</v>
      </c>
      <c r="U49" s="1"/>
      <c r="V49" s="1"/>
    </row>
    <row r="50" spans="1:22" ht="37.5" customHeight="1">
      <c r="A50" s="1" t="s">
        <v>407</v>
      </c>
      <c r="B50" s="1" t="b">
        <v>0</v>
      </c>
      <c r="C50" s="1" t="b">
        <v>0</v>
      </c>
      <c r="D50" s="1"/>
      <c r="E50" s="7"/>
      <c r="F50" s="1">
        <v>2022</v>
      </c>
      <c r="G50" s="1" t="s">
        <v>416</v>
      </c>
      <c r="H50" s="1" t="s">
        <v>425</v>
      </c>
      <c r="I50" s="1"/>
      <c r="J50" s="2" t="s">
        <v>410</v>
      </c>
      <c r="K50" s="1"/>
      <c r="L50" s="1"/>
      <c r="M50" s="1"/>
      <c r="N50" s="1"/>
      <c r="O50" s="1"/>
      <c r="P50" s="7" t="s">
        <v>426</v>
      </c>
      <c r="Q50" s="1" t="s">
        <v>412</v>
      </c>
      <c r="R50" s="1" t="s">
        <v>427</v>
      </c>
      <c r="S50" s="1" t="s">
        <v>428</v>
      </c>
      <c r="T50" s="1" t="s">
        <v>429</v>
      </c>
      <c r="U50" s="1"/>
      <c r="V50" s="1"/>
    </row>
  </sheetData>
  <hyperlinks>
    <hyperlink ref="L2" r:id="rId1" xr:uid="{00000000-0004-0000-0000-000000000000}"/>
    <hyperlink ref="M2" r:id="rId2" xr:uid="{00000000-0004-0000-0000-000001000000}"/>
    <hyperlink ref="N2" r:id="rId3" xr:uid="{00000000-0004-0000-0000-000002000000}"/>
    <hyperlink ref="O2" r:id="rId4" xr:uid="{00000000-0004-0000-0000-000003000000}"/>
    <hyperlink ref="L3" r:id="rId5" xr:uid="{00000000-0004-0000-0000-000004000000}"/>
    <hyperlink ref="M3" r:id="rId6" xr:uid="{00000000-0004-0000-0000-000005000000}"/>
    <hyperlink ref="N3" r:id="rId7" xr:uid="{00000000-0004-0000-0000-000006000000}"/>
    <hyperlink ref="O3" r:id="rId8" xr:uid="{00000000-0004-0000-0000-000007000000}"/>
    <hyperlink ref="L4" r:id="rId9" xr:uid="{00000000-0004-0000-0000-000008000000}"/>
    <hyperlink ref="M4" r:id="rId10" xr:uid="{00000000-0004-0000-0000-000009000000}"/>
    <hyperlink ref="N4" r:id="rId11" xr:uid="{00000000-0004-0000-0000-00000A000000}"/>
    <hyperlink ref="L5" r:id="rId12" xr:uid="{00000000-0004-0000-0000-00000B000000}"/>
    <hyperlink ref="N5" r:id="rId13" xr:uid="{00000000-0004-0000-0000-00000C000000}"/>
    <hyperlink ref="O5" r:id="rId14" xr:uid="{00000000-0004-0000-0000-00000D000000}"/>
    <hyperlink ref="L6" r:id="rId15" xr:uid="{00000000-0004-0000-0000-00000E000000}"/>
    <hyperlink ref="M6" r:id="rId16" xr:uid="{00000000-0004-0000-0000-00000F000000}"/>
    <hyperlink ref="N6" r:id="rId17" xr:uid="{00000000-0004-0000-0000-000010000000}"/>
    <hyperlink ref="O6" r:id="rId18" xr:uid="{00000000-0004-0000-0000-000011000000}"/>
    <hyperlink ref="L7" r:id="rId19" xr:uid="{00000000-0004-0000-0000-000012000000}"/>
    <hyperlink ref="M7" r:id="rId20" xr:uid="{00000000-0004-0000-0000-000013000000}"/>
    <hyperlink ref="N7" r:id="rId21" xr:uid="{00000000-0004-0000-0000-000014000000}"/>
    <hyperlink ref="O7" r:id="rId22" xr:uid="{00000000-0004-0000-0000-000015000000}"/>
    <hyperlink ref="P7" r:id="rId23" xr:uid="{00000000-0004-0000-0000-000016000000}"/>
    <hyperlink ref="L8" r:id="rId24" xr:uid="{00000000-0004-0000-0000-000017000000}"/>
    <hyperlink ref="M8" r:id="rId25" xr:uid="{00000000-0004-0000-0000-000018000000}"/>
    <hyperlink ref="N8" r:id="rId26" xr:uid="{00000000-0004-0000-0000-000019000000}"/>
    <hyperlink ref="L9" r:id="rId27" xr:uid="{00000000-0004-0000-0000-00001A000000}"/>
    <hyperlink ref="N9" r:id="rId28" xr:uid="{00000000-0004-0000-0000-00001B000000}"/>
    <hyperlink ref="L10" r:id="rId29" xr:uid="{00000000-0004-0000-0000-00001C000000}"/>
    <hyperlink ref="N10" r:id="rId30" xr:uid="{00000000-0004-0000-0000-00001D000000}"/>
    <hyperlink ref="L11" r:id="rId31" xr:uid="{00000000-0004-0000-0000-00001E000000}"/>
    <hyperlink ref="M11" r:id="rId32" xr:uid="{00000000-0004-0000-0000-00001F000000}"/>
    <hyperlink ref="N11" r:id="rId33" xr:uid="{00000000-0004-0000-0000-000020000000}"/>
    <hyperlink ref="L12" r:id="rId34" xr:uid="{00000000-0004-0000-0000-000021000000}"/>
    <hyperlink ref="N12" r:id="rId35" xr:uid="{00000000-0004-0000-0000-000022000000}"/>
    <hyperlink ref="L13" r:id="rId36" xr:uid="{00000000-0004-0000-0000-000023000000}"/>
    <hyperlink ref="N13" r:id="rId37" xr:uid="{00000000-0004-0000-0000-000024000000}"/>
    <hyperlink ref="L14" r:id="rId38" xr:uid="{00000000-0004-0000-0000-000025000000}"/>
    <hyperlink ref="N14" r:id="rId39" xr:uid="{00000000-0004-0000-0000-000026000000}"/>
    <hyperlink ref="L15" r:id="rId40" xr:uid="{00000000-0004-0000-0000-000027000000}"/>
    <hyperlink ref="N15" r:id="rId41" xr:uid="{00000000-0004-0000-0000-000028000000}"/>
    <hyperlink ref="O15" r:id="rId42" xr:uid="{00000000-0004-0000-0000-000029000000}"/>
    <hyperlink ref="L16" r:id="rId43" xr:uid="{00000000-0004-0000-0000-00002A000000}"/>
    <hyperlink ref="M16" r:id="rId44" xr:uid="{00000000-0004-0000-0000-00002B000000}"/>
    <hyperlink ref="N16" r:id="rId45" xr:uid="{00000000-0004-0000-0000-00002C000000}"/>
    <hyperlink ref="O16" r:id="rId46" xr:uid="{00000000-0004-0000-0000-00002D000000}"/>
    <hyperlink ref="P16" r:id="rId47" xr:uid="{00000000-0004-0000-0000-00002E000000}"/>
    <hyperlink ref="L17" r:id="rId48" xr:uid="{00000000-0004-0000-0000-00002F000000}"/>
    <hyperlink ref="M17" r:id="rId49" xr:uid="{00000000-0004-0000-0000-000030000000}"/>
    <hyperlink ref="N22" r:id="rId50" xr:uid="{00000000-0004-0000-0000-000031000000}"/>
    <hyperlink ref="N23" r:id="rId51" xr:uid="{00000000-0004-0000-0000-000032000000}"/>
    <hyperlink ref="N24" r:id="rId52" xr:uid="{00000000-0004-0000-0000-000033000000}"/>
    <hyperlink ref="L25" r:id="rId53" xr:uid="{00000000-0004-0000-0000-000034000000}"/>
    <hyperlink ref="M25" r:id="rId54" xr:uid="{00000000-0004-0000-0000-000035000000}"/>
    <hyperlink ref="N25" r:id="rId55" xr:uid="{00000000-0004-0000-0000-000036000000}"/>
    <hyperlink ref="U25" r:id="rId56" xr:uid="{00000000-0004-0000-0000-000037000000}"/>
    <hyperlink ref="L26" r:id="rId57" xr:uid="{00000000-0004-0000-0000-000038000000}"/>
    <hyperlink ref="M26" r:id="rId58" xr:uid="{00000000-0004-0000-0000-000039000000}"/>
    <hyperlink ref="N26" r:id="rId59" xr:uid="{00000000-0004-0000-0000-00003A000000}"/>
    <hyperlink ref="L27" r:id="rId60" xr:uid="{00000000-0004-0000-0000-00003B000000}"/>
    <hyperlink ref="N27" r:id="rId61" xr:uid="{00000000-0004-0000-0000-00003C000000}"/>
    <hyperlink ref="N28" r:id="rId62" xr:uid="{00000000-0004-0000-0000-00003D000000}"/>
    <hyperlink ref="P28" r:id="rId63" xr:uid="{00000000-0004-0000-0000-00003E000000}"/>
    <hyperlink ref="N29" r:id="rId64" xr:uid="{00000000-0004-0000-0000-00003F000000}"/>
    <hyperlink ref="N30" r:id="rId65" xr:uid="{00000000-0004-0000-0000-000040000000}"/>
    <hyperlink ref="L31" r:id="rId66" xr:uid="{00000000-0004-0000-0000-000041000000}"/>
    <hyperlink ref="N31" r:id="rId67" xr:uid="{00000000-0004-0000-0000-000042000000}"/>
    <hyperlink ref="L32" r:id="rId68" xr:uid="{00000000-0004-0000-0000-000043000000}"/>
    <hyperlink ref="N32" r:id="rId69" xr:uid="{00000000-0004-0000-0000-000044000000}"/>
    <hyperlink ref="L33" r:id="rId70" xr:uid="{00000000-0004-0000-0000-000045000000}"/>
    <hyperlink ref="M33" r:id="rId71" xr:uid="{00000000-0004-0000-0000-000046000000}"/>
    <hyperlink ref="L34" r:id="rId72" xr:uid="{00000000-0004-0000-0000-000047000000}"/>
    <hyperlink ref="M34" r:id="rId73" xr:uid="{00000000-0004-0000-0000-000048000000}"/>
    <hyperlink ref="L35" r:id="rId74" xr:uid="{00000000-0004-0000-0000-000049000000}"/>
    <hyperlink ref="N35" r:id="rId75" xr:uid="{00000000-0004-0000-0000-00004A000000}"/>
    <hyperlink ref="L36" r:id="rId76" xr:uid="{00000000-0004-0000-0000-00004B000000}"/>
    <hyperlink ref="N36" r:id="rId77" xr:uid="{00000000-0004-0000-0000-00004C000000}"/>
    <hyperlink ref="L37" r:id="rId78" xr:uid="{00000000-0004-0000-0000-00004D000000}"/>
    <hyperlink ref="N37" r:id="rId79" xr:uid="{00000000-0004-0000-0000-00004E000000}"/>
    <hyperlink ref="O37" r:id="rId80" xr:uid="{00000000-0004-0000-0000-00004F000000}"/>
    <hyperlink ref="P37" r:id="rId81" xr:uid="{00000000-0004-0000-0000-000050000000}"/>
    <hyperlink ref="L38" r:id="rId82" xr:uid="{00000000-0004-0000-0000-000051000000}"/>
    <hyperlink ref="N38" r:id="rId83" xr:uid="{00000000-0004-0000-0000-000052000000}"/>
    <hyperlink ref="L39" r:id="rId84" xr:uid="{00000000-0004-0000-0000-000053000000}"/>
    <hyperlink ref="N39" r:id="rId85" xr:uid="{00000000-0004-0000-0000-000054000000}"/>
    <hyperlink ref="L40" r:id="rId86" xr:uid="{00000000-0004-0000-0000-000055000000}"/>
    <hyperlink ref="N40" r:id="rId87" xr:uid="{00000000-0004-0000-0000-000056000000}"/>
    <hyperlink ref="L41" r:id="rId88" xr:uid="{00000000-0004-0000-0000-000057000000}"/>
    <hyperlink ref="N41" r:id="rId89" xr:uid="{00000000-0004-0000-0000-000058000000}"/>
    <hyperlink ref="L42" r:id="rId90" xr:uid="{00000000-0004-0000-0000-000059000000}"/>
    <hyperlink ref="N42" r:id="rId91" xr:uid="{00000000-0004-0000-0000-00005A000000}"/>
    <hyperlink ref="L43" r:id="rId92" xr:uid="{00000000-0004-0000-0000-00005B000000}"/>
    <hyperlink ref="N43" r:id="rId93" xr:uid="{00000000-0004-0000-0000-00005C000000}"/>
    <hyperlink ref="P44" r:id="rId94" xr:uid="{00000000-0004-0000-0000-00005D000000}"/>
    <hyperlink ref="L45" r:id="rId95" xr:uid="{00000000-0004-0000-0000-00005E000000}"/>
    <hyperlink ref="N45" r:id="rId96" xr:uid="{00000000-0004-0000-0000-00005F000000}"/>
    <hyperlink ref="L46" r:id="rId97" xr:uid="{00000000-0004-0000-0000-000060000000}"/>
    <hyperlink ref="N46" r:id="rId98" xr:uid="{00000000-0004-0000-0000-000061000000}"/>
    <hyperlink ref="P47" r:id="rId99" xr:uid="{00000000-0004-0000-0000-000062000000}"/>
    <hyperlink ref="N48" r:id="rId100" xr:uid="{00000000-0004-0000-0000-000063000000}"/>
    <hyperlink ref="P48" r:id="rId101" xr:uid="{00000000-0004-0000-0000-000064000000}"/>
    <hyperlink ref="P49" r:id="rId102" xr:uid="{00000000-0004-0000-0000-000065000000}"/>
    <hyperlink ref="P50" r:id="rId103" xr:uid="{00000000-0004-0000-0000-000066000000}"/>
  </hyperlinks>
  <pageMargins left="0.7" right="0.7" top="0.75" bottom="0.75" header="0.3" footer="0.3"/>
  <legacyDrawing r:id="rId1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87"/>
  <sheetViews>
    <sheetView workbookViewId="0">
      <pane ySplit="1" topLeftCell="A2" activePane="bottomLeft" state="frozen"/>
      <selection pane="bottomLeft" activeCell="B3" sqref="B3"/>
    </sheetView>
  </sheetViews>
  <sheetFormatPr defaultColWidth="12.6328125" defaultRowHeight="15.75" customHeight="1"/>
  <cols>
    <col min="1" max="1" width="10" customWidth="1"/>
    <col min="2" max="2" width="11.36328125" customWidth="1"/>
    <col min="3" max="3" width="35.90625" customWidth="1"/>
    <col min="6" max="6" width="25" customWidth="1"/>
    <col min="7" max="7" width="12.7265625" customWidth="1"/>
  </cols>
  <sheetData>
    <row r="1" spans="1:8" ht="15.75" customHeight="1">
      <c r="A1" s="1" t="s">
        <v>0</v>
      </c>
      <c r="B1" s="18" t="s">
        <v>430</v>
      </c>
      <c r="C1" s="1" t="s">
        <v>7</v>
      </c>
      <c r="D1" s="1" t="s">
        <v>431</v>
      </c>
      <c r="E1" s="1" t="s">
        <v>432</v>
      </c>
      <c r="F1" s="1" t="s">
        <v>433</v>
      </c>
      <c r="G1" s="1" t="s">
        <v>434</v>
      </c>
      <c r="H1" s="1" t="s">
        <v>435</v>
      </c>
    </row>
    <row r="2" spans="1:8" ht="15.75" customHeight="1">
      <c r="A2" s="1" t="s">
        <v>253</v>
      </c>
      <c r="B2" s="18">
        <v>41415</v>
      </c>
      <c r="C2" s="1" t="s">
        <v>436</v>
      </c>
      <c r="D2" s="1"/>
      <c r="E2" s="1"/>
      <c r="F2" s="1" t="s">
        <v>437</v>
      </c>
      <c r="G2" s="1" t="s">
        <v>438</v>
      </c>
      <c r="H2" s="1"/>
    </row>
    <row r="3" spans="1:8" ht="15.75" customHeight="1">
      <c r="A3" s="1" t="s">
        <v>253</v>
      </c>
      <c r="B3" s="18">
        <v>41424</v>
      </c>
      <c r="C3" s="1" t="s">
        <v>439</v>
      </c>
      <c r="D3" s="1"/>
      <c r="E3" s="1"/>
      <c r="F3" s="1" t="s">
        <v>440</v>
      </c>
      <c r="G3" s="1" t="s">
        <v>441</v>
      </c>
      <c r="H3" s="1"/>
    </row>
    <row r="4" spans="1:8" ht="15.75" customHeight="1">
      <c r="A4" s="1" t="s">
        <v>253</v>
      </c>
      <c r="B4" s="18">
        <v>41443</v>
      </c>
      <c r="C4" s="1" t="s">
        <v>442</v>
      </c>
      <c r="D4" s="1"/>
      <c r="E4" s="1"/>
      <c r="F4" s="1" t="s">
        <v>443</v>
      </c>
      <c r="G4" s="1" t="s">
        <v>444</v>
      </c>
      <c r="H4" s="1"/>
    </row>
    <row r="5" spans="1:8" ht="15.75" customHeight="1">
      <c r="A5" s="1" t="s">
        <v>445</v>
      </c>
      <c r="B5" s="18">
        <v>41483</v>
      </c>
      <c r="C5" s="1" t="s">
        <v>436</v>
      </c>
      <c r="D5" s="1"/>
      <c r="E5" s="1"/>
      <c r="F5" s="1" t="s">
        <v>446</v>
      </c>
      <c r="G5" s="1" t="s">
        <v>447</v>
      </c>
      <c r="H5" s="1"/>
    </row>
    <row r="6" spans="1:8" ht="15.75" customHeight="1">
      <c r="A6" s="2" t="s">
        <v>448</v>
      </c>
      <c r="B6" s="18">
        <v>41548</v>
      </c>
      <c r="C6" s="1" t="s">
        <v>449</v>
      </c>
      <c r="D6" s="1"/>
      <c r="E6" s="1"/>
      <c r="F6" s="1" t="s">
        <v>450</v>
      </c>
      <c r="G6" s="1" t="s">
        <v>438</v>
      </c>
      <c r="H6" s="1"/>
    </row>
    <row r="7" spans="1:8" ht="15.75" customHeight="1">
      <c r="A7" s="1" t="s">
        <v>253</v>
      </c>
      <c r="B7" s="18">
        <v>41554</v>
      </c>
      <c r="C7" s="1" t="s">
        <v>451</v>
      </c>
      <c r="D7" s="1"/>
      <c r="E7" s="1"/>
      <c r="F7" s="1" t="s">
        <v>452</v>
      </c>
      <c r="G7" s="1" t="s">
        <v>453</v>
      </c>
      <c r="H7" s="1"/>
    </row>
    <row r="8" spans="1:8" ht="15.75" customHeight="1">
      <c r="A8" s="1" t="s">
        <v>253</v>
      </c>
      <c r="B8" s="18">
        <v>41653</v>
      </c>
      <c r="C8" s="1" t="s">
        <v>451</v>
      </c>
      <c r="D8" s="1"/>
      <c r="E8" s="1"/>
      <c r="F8" s="19" t="s">
        <v>263</v>
      </c>
      <c r="G8" s="1" t="s">
        <v>454</v>
      </c>
      <c r="H8" s="1"/>
    </row>
    <row r="9" spans="1:8" ht="15.75" customHeight="1">
      <c r="A9" s="1" t="s">
        <v>448</v>
      </c>
      <c r="B9" s="18">
        <v>41815</v>
      </c>
      <c r="C9" s="1" t="s">
        <v>455</v>
      </c>
      <c r="D9" s="1"/>
      <c r="E9" s="1"/>
      <c r="F9" s="1" t="s">
        <v>456</v>
      </c>
      <c r="G9" s="1" t="s">
        <v>457</v>
      </c>
      <c r="H9" s="5" t="s">
        <v>458</v>
      </c>
    </row>
    <row r="10" spans="1:8" ht="15.75" customHeight="1">
      <c r="A10" s="1" t="s">
        <v>459</v>
      </c>
      <c r="B10" s="18">
        <v>41856</v>
      </c>
      <c r="C10" s="1" t="s">
        <v>460</v>
      </c>
      <c r="D10" s="1"/>
      <c r="E10" s="1"/>
      <c r="F10" s="1" t="s">
        <v>303</v>
      </c>
      <c r="G10" s="1" t="s">
        <v>461</v>
      </c>
      <c r="H10" s="5" t="s">
        <v>462</v>
      </c>
    </row>
    <row r="11" spans="1:8" ht="15.75" customHeight="1">
      <c r="A11" s="1" t="s">
        <v>448</v>
      </c>
      <c r="B11" s="18">
        <v>42170</v>
      </c>
      <c r="C11" s="1" t="s">
        <v>455</v>
      </c>
      <c r="D11" s="1"/>
      <c r="E11" s="1"/>
      <c r="F11" s="1" t="s">
        <v>463</v>
      </c>
      <c r="G11" s="1" t="s">
        <v>464</v>
      </c>
      <c r="H11" s="1"/>
    </row>
    <row r="12" spans="1:8" ht="15.75" customHeight="1">
      <c r="A12" s="1" t="s">
        <v>253</v>
      </c>
      <c r="B12" s="18">
        <v>42515</v>
      </c>
      <c r="C12" s="1" t="s">
        <v>302</v>
      </c>
      <c r="D12" s="1"/>
      <c r="E12" s="1"/>
      <c r="F12" s="1" t="s">
        <v>440</v>
      </c>
      <c r="G12" s="1" t="s">
        <v>453</v>
      </c>
      <c r="H12" s="1"/>
    </row>
    <row r="13" spans="1:8" ht="15.75" customHeight="1">
      <c r="A13" s="1" t="s">
        <v>253</v>
      </c>
      <c r="B13" s="18">
        <v>42531</v>
      </c>
      <c r="C13" s="1" t="s">
        <v>302</v>
      </c>
      <c r="D13" s="1"/>
      <c r="E13" s="1"/>
      <c r="F13" s="1" t="s">
        <v>465</v>
      </c>
      <c r="G13" s="1" t="s">
        <v>466</v>
      </c>
      <c r="H13" s="1"/>
    </row>
    <row r="14" spans="1:8" ht="15.75" customHeight="1">
      <c r="A14" s="1" t="s">
        <v>253</v>
      </c>
      <c r="B14" s="18">
        <v>42533</v>
      </c>
      <c r="C14" s="1" t="s">
        <v>302</v>
      </c>
      <c r="D14" s="1"/>
      <c r="E14" s="1"/>
      <c r="F14" s="1" t="s">
        <v>467</v>
      </c>
      <c r="G14" s="1" t="s">
        <v>468</v>
      </c>
      <c r="H14" s="1"/>
    </row>
    <row r="15" spans="1:8" ht="15.75" customHeight="1">
      <c r="A15" s="1" t="s">
        <v>459</v>
      </c>
      <c r="B15" s="18">
        <v>42587</v>
      </c>
      <c r="C15" s="1" t="s">
        <v>469</v>
      </c>
      <c r="D15" s="1"/>
      <c r="E15" s="1"/>
      <c r="F15" s="1" t="s">
        <v>303</v>
      </c>
      <c r="G15" s="1" t="s">
        <v>470</v>
      </c>
      <c r="H15" s="5" t="s">
        <v>471</v>
      </c>
    </row>
    <row r="16" spans="1:8" ht="15.75" customHeight="1">
      <c r="A16" s="1" t="s">
        <v>448</v>
      </c>
      <c r="B16" s="18">
        <v>42802</v>
      </c>
      <c r="C16" s="1" t="s">
        <v>472</v>
      </c>
      <c r="D16" s="1"/>
      <c r="E16" s="1"/>
      <c r="F16" s="1" t="s">
        <v>473</v>
      </c>
      <c r="G16" s="1" t="s">
        <v>474</v>
      </c>
      <c r="H16" s="1"/>
    </row>
    <row r="17" spans="1:8" ht="15.75" customHeight="1">
      <c r="A17" s="1" t="s">
        <v>448</v>
      </c>
      <c r="B17" s="18">
        <v>42859</v>
      </c>
      <c r="C17" s="1" t="s">
        <v>357</v>
      </c>
      <c r="D17" s="1"/>
      <c r="E17" s="1"/>
      <c r="F17" s="1" t="s">
        <v>475</v>
      </c>
      <c r="G17" s="1" t="s">
        <v>457</v>
      </c>
      <c r="H17" s="1"/>
    </row>
    <row r="18" spans="1:8" ht="15.75" customHeight="1">
      <c r="A18" s="1" t="s">
        <v>448</v>
      </c>
      <c r="B18" s="18">
        <v>42867</v>
      </c>
      <c r="C18" s="19" t="s">
        <v>357</v>
      </c>
      <c r="D18" s="1"/>
      <c r="E18" s="1"/>
      <c r="F18" s="1" t="s">
        <v>476</v>
      </c>
      <c r="G18" s="1" t="s">
        <v>457</v>
      </c>
      <c r="H18" s="1"/>
    </row>
    <row r="19" spans="1:8" ht="15.75" customHeight="1">
      <c r="A19" s="1" t="s">
        <v>253</v>
      </c>
      <c r="B19" s="18">
        <v>42880</v>
      </c>
      <c r="C19" s="1" t="s">
        <v>477</v>
      </c>
      <c r="D19" s="1"/>
      <c r="E19" s="1"/>
      <c r="F19" s="1" t="s">
        <v>440</v>
      </c>
      <c r="G19" s="1" t="s">
        <v>454</v>
      </c>
      <c r="H19" s="1"/>
    </row>
    <row r="20" spans="1:8" ht="15.75" customHeight="1">
      <c r="A20" s="1" t="s">
        <v>253</v>
      </c>
      <c r="B20" s="18">
        <v>42880</v>
      </c>
      <c r="C20" s="1" t="s">
        <v>478</v>
      </c>
      <c r="D20" s="1"/>
      <c r="E20" s="1"/>
      <c r="F20" s="1" t="s">
        <v>440</v>
      </c>
      <c r="G20" s="1" t="s">
        <v>454</v>
      </c>
      <c r="H20" s="1"/>
    </row>
    <row r="21" spans="1:8" ht="15.75" customHeight="1">
      <c r="A21" s="2" t="s">
        <v>448</v>
      </c>
      <c r="B21" s="18">
        <v>42917</v>
      </c>
      <c r="C21" s="1" t="s">
        <v>479</v>
      </c>
      <c r="D21" s="1"/>
      <c r="E21" s="1"/>
      <c r="F21" s="1" t="s">
        <v>480</v>
      </c>
      <c r="G21" s="1" t="s">
        <v>444</v>
      </c>
      <c r="H21" s="1"/>
    </row>
    <row r="22" spans="1:8" ht="15.75" customHeight="1">
      <c r="A22" s="1" t="s">
        <v>448</v>
      </c>
      <c r="B22" s="18">
        <v>42996</v>
      </c>
      <c r="C22" s="1" t="s">
        <v>481</v>
      </c>
      <c r="D22" s="1"/>
      <c r="E22" s="1"/>
      <c r="F22" s="1" t="s">
        <v>482</v>
      </c>
      <c r="G22" s="19" t="s">
        <v>483</v>
      </c>
      <c r="H22" s="1"/>
    </row>
    <row r="23" spans="1:8" ht="15.75" customHeight="1">
      <c r="A23" s="1" t="s">
        <v>448</v>
      </c>
      <c r="B23" s="18">
        <v>43010</v>
      </c>
      <c r="C23" s="1" t="s">
        <v>484</v>
      </c>
      <c r="D23" s="1"/>
      <c r="E23" s="1" t="s">
        <v>485</v>
      </c>
      <c r="F23" s="19" t="s">
        <v>486</v>
      </c>
      <c r="G23" s="1" t="s">
        <v>487</v>
      </c>
      <c r="H23" s="1"/>
    </row>
    <row r="24" spans="1:8" ht="15.75" customHeight="1">
      <c r="A24" s="1" t="s">
        <v>253</v>
      </c>
      <c r="B24" s="18">
        <v>43016</v>
      </c>
      <c r="C24" s="1" t="s">
        <v>488</v>
      </c>
      <c r="D24" s="1"/>
      <c r="E24" s="1"/>
      <c r="F24" s="1" t="s">
        <v>489</v>
      </c>
      <c r="G24" s="1" t="s">
        <v>490</v>
      </c>
      <c r="H24" s="1"/>
    </row>
    <row r="25" spans="1:8" ht="15.75" customHeight="1">
      <c r="A25" s="1" t="s">
        <v>253</v>
      </c>
      <c r="B25" s="18">
        <v>43133</v>
      </c>
      <c r="C25" s="1" t="s">
        <v>491</v>
      </c>
      <c r="D25" s="1" t="s">
        <v>492</v>
      </c>
      <c r="E25" s="1"/>
      <c r="F25" s="1" t="s">
        <v>493</v>
      </c>
      <c r="G25" s="1" t="s">
        <v>494</v>
      </c>
      <c r="H25" s="1"/>
    </row>
    <row r="26" spans="1:8" ht="15.75" customHeight="1">
      <c r="A26" s="1" t="s">
        <v>448</v>
      </c>
      <c r="B26" s="18">
        <v>43145</v>
      </c>
      <c r="C26" s="1" t="s">
        <v>495</v>
      </c>
      <c r="D26" s="1"/>
      <c r="E26" s="1" t="s">
        <v>496</v>
      </c>
      <c r="F26" s="1" t="s">
        <v>497</v>
      </c>
      <c r="G26" s="1" t="s">
        <v>444</v>
      </c>
      <c r="H26" s="1"/>
    </row>
    <row r="27" spans="1:8" ht="15.75" customHeight="1">
      <c r="A27" s="2" t="s">
        <v>448</v>
      </c>
      <c r="B27" s="18">
        <v>43160</v>
      </c>
      <c r="C27" s="1" t="s">
        <v>498</v>
      </c>
      <c r="D27" s="1"/>
      <c r="E27" s="1"/>
      <c r="F27" s="1" t="s">
        <v>484</v>
      </c>
      <c r="G27" s="1" t="s">
        <v>474</v>
      </c>
      <c r="H27" s="1"/>
    </row>
    <row r="28" spans="1:8" ht="15.75" customHeight="1">
      <c r="A28" s="1" t="s">
        <v>253</v>
      </c>
      <c r="B28" s="18">
        <v>43251</v>
      </c>
      <c r="C28" s="1" t="s">
        <v>249</v>
      </c>
      <c r="D28" s="1" t="s">
        <v>492</v>
      </c>
      <c r="E28" s="1"/>
      <c r="F28" s="1" t="s">
        <v>440</v>
      </c>
      <c r="G28" s="1" t="s">
        <v>499</v>
      </c>
      <c r="H28" s="1"/>
    </row>
    <row r="29" spans="1:8" ht="15.75" customHeight="1">
      <c r="A29" s="1" t="s">
        <v>253</v>
      </c>
      <c r="B29" s="18">
        <v>43399</v>
      </c>
      <c r="C29" s="1" t="s">
        <v>249</v>
      </c>
      <c r="D29" s="1" t="s">
        <v>492</v>
      </c>
      <c r="E29" s="1"/>
      <c r="F29" s="1" t="s">
        <v>500</v>
      </c>
      <c r="G29" s="1" t="s">
        <v>461</v>
      </c>
      <c r="H29" s="1"/>
    </row>
    <row r="30" spans="1:8" ht="15.75" customHeight="1">
      <c r="A30" s="1" t="s">
        <v>253</v>
      </c>
      <c r="B30" s="18">
        <v>43412</v>
      </c>
      <c r="C30" s="1" t="s">
        <v>188</v>
      </c>
      <c r="D30" s="1"/>
      <c r="E30" s="1"/>
      <c r="F30" s="1" t="s">
        <v>501</v>
      </c>
      <c r="G30" s="1" t="s">
        <v>454</v>
      </c>
      <c r="H30" s="1"/>
    </row>
    <row r="31" spans="1:8" ht="15.75" customHeight="1">
      <c r="A31" s="1" t="s">
        <v>253</v>
      </c>
      <c r="B31" s="18">
        <v>43482</v>
      </c>
      <c r="C31" s="1" t="s">
        <v>502</v>
      </c>
      <c r="D31" s="1"/>
      <c r="E31" s="1"/>
      <c r="F31" s="1" t="s">
        <v>503</v>
      </c>
      <c r="G31" s="1" t="s">
        <v>454</v>
      </c>
      <c r="H31" s="1"/>
    </row>
    <row r="32" spans="1:8" ht="15.75" customHeight="1">
      <c r="A32" s="1" t="s">
        <v>504</v>
      </c>
      <c r="B32" s="18">
        <v>43558</v>
      </c>
      <c r="C32" s="1" t="s">
        <v>505</v>
      </c>
      <c r="D32" s="1"/>
      <c r="E32" s="1"/>
      <c r="F32" s="1" t="s">
        <v>506</v>
      </c>
      <c r="G32" s="1" t="s">
        <v>454</v>
      </c>
      <c r="H32" s="1"/>
    </row>
    <row r="33" spans="1:8" ht="15.75" customHeight="1">
      <c r="A33" s="1" t="s">
        <v>448</v>
      </c>
      <c r="B33" s="18">
        <v>43567</v>
      </c>
      <c r="C33" s="1" t="s">
        <v>507</v>
      </c>
      <c r="D33" s="1"/>
      <c r="E33" s="1"/>
      <c r="F33" s="1" t="s">
        <v>508</v>
      </c>
      <c r="G33" s="1" t="s">
        <v>438</v>
      </c>
      <c r="H33" s="1"/>
    </row>
    <row r="34" spans="1:8" ht="39">
      <c r="A34" s="1" t="s">
        <v>253</v>
      </c>
      <c r="B34" s="18">
        <v>43731</v>
      </c>
      <c r="C34" s="1" t="s">
        <v>509</v>
      </c>
      <c r="D34" s="1" t="s">
        <v>510</v>
      </c>
      <c r="E34" s="1"/>
      <c r="F34" s="1" t="s">
        <v>511</v>
      </c>
      <c r="G34" s="1" t="s">
        <v>512</v>
      </c>
      <c r="H34" s="1"/>
    </row>
    <row r="35" spans="1:8" ht="52">
      <c r="A35" s="1" t="s">
        <v>448</v>
      </c>
      <c r="B35" s="18">
        <v>43745</v>
      </c>
      <c r="C35" s="19" t="s">
        <v>188</v>
      </c>
      <c r="D35" s="1"/>
      <c r="E35" s="1"/>
      <c r="F35" s="1" t="s">
        <v>513</v>
      </c>
      <c r="G35" s="1" t="s">
        <v>514</v>
      </c>
      <c r="H35" s="1"/>
    </row>
    <row r="36" spans="1:8" ht="39">
      <c r="A36" s="1" t="s">
        <v>504</v>
      </c>
      <c r="B36" s="18">
        <v>43754</v>
      </c>
      <c r="C36" s="1" t="s">
        <v>515</v>
      </c>
      <c r="D36" s="1"/>
      <c r="E36" s="1"/>
      <c r="F36" s="1" t="s">
        <v>489</v>
      </c>
      <c r="G36" s="1" t="s">
        <v>490</v>
      </c>
      <c r="H36" s="1"/>
    </row>
    <row r="37" spans="1:8" ht="143">
      <c r="A37" s="1" t="s">
        <v>504</v>
      </c>
      <c r="B37" s="18">
        <v>43768</v>
      </c>
      <c r="C37" s="1" t="s">
        <v>516</v>
      </c>
      <c r="D37" s="1"/>
      <c r="E37" s="1"/>
      <c r="F37" s="1" t="s">
        <v>517</v>
      </c>
      <c r="G37" s="1" t="s">
        <v>454</v>
      </c>
      <c r="H37" s="5" t="s">
        <v>518</v>
      </c>
    </row>
    <row r="38" spans="1:8" ht="39">
      <c r="A38" s="1" t="s">
        <v>448</v>
      </c>
      <c r="B38" s="18">
        <v>43801</v>
      </c>
      <c r="C38" s="19" t="s">
        <v>481</v>
      </c>
      <c r="D38" s="1"/>
      <c r="E38" s="1"/>
      <c r="F38" s="1" t="s">
        <v>519</v>
      </c>
      <c r="G38" s="1" t="s">
        <v>454</v>
      </c>
      <c r="H38" s="1"/>
    </row>
    <row r="39" spans="1:8" ht="65">
      <c r="A39" s="1" t="s">
        <v>253</v>
      </c>
      <c r="B39" s="18">
        <v>43846</v>
      </c>
      <c r="C39" s="1" t="s">
        <v>509</v>
      </c>
      <c r="D39" s="1" t="s">
        <v>510</v>
      </c>
      <c r="E39" s="1"/>
      <c r="F39" s="1" t="s">
        <v>503</v>
      </c>
      <c r="G39" s="1" t="s">
        <v>454</v>
      </c>
      <c r="H39" s="1"/>
    </row>
    <row r="40" spans="1:8" ht="39">
      <c r="A40" s="1" t="s">
        <v>448</v>
      </c>
      <c r="B40" s="18">
        <v>43889</v>
      </c>
      <c r="C40" s="1" t="s">
        <v>162</v>
      </c>
      <c r="D40" s="1"/>
      <c r="E40" s="1"/>
      <c r="F40" s="1" t="s">
        <v>519</v>
      </c>
      <c r="G40" s="1" t="s">
        <v>454</v>
      </c>
      <c r="H40" s="1"/>
    </row>
    <row r="41" spans="1:8" ht="39">
      <c r="A41" s="1" t="s">
        <v>459</v>
      </c>
      <c r="B41" s="18">
        <v>43925</v>
      </c>
      <c r="C41" s="1" t="s">
        <v>520</v>
      </c>
      <c r="D41" s="1"/>
      <c r="E41" s="1"/>
      <c r="F41" s="1" t="s">
        <v>521</v>
      </c>
      <c r="G41" s="1" t="s">
        <v>522</v>
      </c>
      <c r="H41" s="1"/>
    </row>
    <row r="42" spans="1:8" ht="39">
      <c r="A42" s="1" t="s">
        <v>253</v>
      </c>
      <c r="B42" s="18">
        <v>43986</v>
      </c>
      <c r="C42" s="1" t="s">
        <v>509</v>
      </c>
      <c r="D42" s="1" t="s">
        <v>510</v>
      </c>
      <c r="E42" s="1"/>
      <c r="F42" s="1" t="s">
        <v>440</v>
      </c>
      <c r="G42" s="1" t="s">
        <v>522</v>
      </c>
      <c r="H42" s="1"/>
    </row>
    <row r="43" spans="1:8" ht="91">
      <c r="A43" s="1" t="s">
        <v>448</v>
      </c>
      <c r="B43" s="18">
        <v>44113</v>
      </c>
      <c r="C43" s="1" t="s">
        <v>162</v>
      </c>
      <c r="D43" s="1" t="s">
        <v>523</v>
      </c>
      <c r="E43" s="1" t="s">
        <v>524</v>
      </c>
      <c r="F43" s="1" t="s">
        <v>525</v>
      </c>
      <c r="G43" s="1" t="s">
        <v>526</v>
      </c>
      <c r="H43" s="20" t="s">
        <v>527</v>
      </c>
    </row>
    <row r="44" spans="1:8" ht="39">
      <c r="A44" s="1" t="s">
        <v>459</v>
      </c>
      <c r="B44" s="18">
        <v>44130</v>
      </c>
      <c r="C44" s="1" t="s">
        <v>528</v>
      </c>
      <c r="D44" s="1" t="s">
        <v>529</v>
      </c>
      <c r="E44" s="1"/>
      <c r="F44" s="1" t="s">
        <v>530</v>
      </c>
      <c r="G44" s="1" t="s">
        <v>531</v>
      </c>
      <c r="H44" s="1"/>
    </row>
    <row r="45" spans="1:8" ht="78">
      <c r="A45" s="1" t="s">
        <v>253</v>
      </c>
      <c r="B45" s="18">
        <v>44146</v>
      </c>
      <c r="C45" s="1" t="s">
        <v>532</v>
      </c>
      <c r="D45" s="1" t="s">
        <v>533</v>
      </c>
      <c r="E45" s="1"/>
      <c r="F45" s="1" t="s">
        <v>501</v>
      </c>
      <c r="G45" s="1" t="s">
        <v>522</v>
      </c>
      <c r="H45" s="5" t="s">
        <v>534</v>
      </c>
    </row>
    <row r="46" spans="1:8" ht="78">
      <c r="A46" s="1" t="s">
        <v>253</v>
      </c>
      <c r="B46" s="18">
        <v>44146</v>
      </c>
      <c r="C46" s="1" t="s">
        <v>535</v>
      </c>
      <c r="D46" s="1" t="s">
        <v>510</v>
      </c>
      <c r="E46" s="1"/>
      <c r="F46" s="1" t="s">
        <v>501</v>
      </c>
      <c r="G46" s="1" t="s">
        <v>522</v>
      </c>
      <c r="H46" s="5" t="s">
        <v>536</v>
      </c>
    </row>
    <row r="47" spans="1:8" ht="78">
      <c r="A47" s="1" t="s">
        <v>253</v>
      </c>
      <c r="B47" s="18">
        <v>44217</v>
      </c>
      <c r="C47" s="1" t="s">
        <v>537</v>
      </c>
      <c r="D47" s="1"/>
      <c r="E47" s="1"/>
      <c r="F47" s="1" t="s">
        <v>538</v>
      </c>
      <c r="G47" s="1" t="s">
        <v>522</v>
      </c>
      <c r="H47" s="7" t="s">
        <v>539</v>
      </c>
    </row>
    <row r="48" spans="1:8" ht="91">
      <c r="A48" s="1" t="s">
        <v>253</v>
      </c>
      <c r="B48" s="18">
        <v>44306</v>
      </c>
      <c r="C48" s="1" t="s">
        <v>286</v>
      </c>
      <c r="D48" s="1"/>
      <c r="E48" s="1"/>
      <c r="F48" s="1" t="s">
        <v>540</v>
      </c>
      <c r="G48" s="1"/>
      <c r="H48" s="5" t="s">
        <v>288</v>
      </c>
    </row>
    <row r="49" spans="1:8" ht="52">
      <c r="A49" s="1" t="s">
        <v>253</v>
      </c>
      <c r="B49" s="18">
        <v>44351</v>
      </c>
      <c r="C49" s="1" t="s">
        <v>541</v>
      </c>
      <c r="D49" s="1" t="s">
        <v>492</v>
      </c>
      <c r="E49" s="1"/>
      <c r="F49" s="1" t="s">
        <v>440</v>
      </c>
      <c r="G49" s="1" t="s">
        <v>522</v>
      </c>
      <c r="H49" s="1"/>
    </row>
    <row r="50" spans="1:8" ht="78">
      <c r="A50" s="1" t="s">
        <v>253</v>
      </c>
      <c r="B50" s="18">
        <v>44383</v>
      </c>
      <c r="C50" s="1" t="s">
        <v>542</v>
      </c>
      <c r="D50" s="1"/>
      <c r="E50" s="1"/>
      <c r="F50" s="1" t="s">
        <v>543</v>
      </c>
      <c r="G50" s="1" t="s">
        <v>522</v>
      </c>
      <c r="H50" s="5" t="s">
        <v>544</v>
      </c>
    </row>
    <row r="51" spans="1:8" ht="39">
      <c r="A51" s="1" t="s">
        <v>253</v>
      </c>
      <c r="B51" s="18">
        <v>44476</v>
      </c>
      <c r="C51" s="1" t="s">
        <v>545</v>
      </c>
      <c r="D51" s="1" t="s">
        <v>546</v>
      </c>
      <c r="E51" s="1"/>
      <c r="F51" s="1" t="s">
        <v>547</v>
      </c>
      <c r="G51" s="1" t="s">
        <v>548</v>
      </c>
      <c r="H51" s="1"/>
    </row>
    <row r="52" spans="1:8" ht="52">
      <c r="A52" s="1" t="s">
        <v>445</v>
      </c>
      <c r="B52" s="18">
        <v>44476</v>
      </c>
      <c r="C52" s="1" t="s">
        <v>549</v>
      </c>
      <c r="D52" s="1" t="s">
        <v>510</v>
      </c>
      <c r="E52" s="1"/>
      <c r="F52" s="1" t="s">
        <v>547</v>
      </c>
      <c r="G52" s="1" t="s">
        <v>548</v>
      </c>
      <c r="H52" s="1"/>
    </row>
    <row r="53" spans="1:8" ht="52">
      <c r="A53" s="1" t="s">
        <v>445</v>
      </c>
      <c r="B53" s="18">
        <v>44476</v>
      </c>
      <c r="C53" s="1" t="s">
        <v>39</v>
      </c>
      <c r="D53" s="1" t="s">
        <v>550</v>
      </c>
      <c r="E53" s="1"/>
      <c r="F53" s="1" t="s">
        <v>547</v>
      </c>
      <c r="G53" s="1" t="s">
        <v>548</v>
      </c>
      <c r="H53" s="1"/>
    </row>
    <row r="54" spans="1:8" ht="104">
      <c r="A54" s="1" t="s">
        <v>504</v>
      </c>
      <c r="B54" s="18">
        <v>44643</v>
      </c>
      <c r="C54" s="1" t="s">
        <v>551</v>
      </c>
      <c r="D54" s="1" t="s">
        <v>552</v>
      </c>
      <c r="E54" s="19" t="s">
        <v>553</v>
      </c>
      <c r="F54" s="1" t="s">
        <v>554</v>
      </c>
      <c r="G54" s="1" t="s">
        <v>454</v>
      </c>
      <c r="H54" s="1"/>
    </row>
    <row r="55" spans="1:8" ht="52">
      <c r="A55" s="1" t="s">
        <v>448</v>
      </c>
      <c r="B55" s="18">
        <v>44673</v>
      </c>
      <c r="C55" s="1" t="s">
        <v>555</v>
      </c>
      <c r="D55" s="1" t="s">
        <v>556</v>
      </c>
      <c r="E55" s="19" t="s">
        <v>557</v>
      </c>
      <c r="F55" s="1" t="s">
        <v>558</v>
      </c>
      <c r="G55" s="1" t="s">
        <v>438</v>
      </c>
      <c r="H55" s="1"/>
    </row>
    <row r="56" spans="1:8" ht="91">
      <c r="A56" s="1" t="s">
        <v>253</v>
      </c>
      <c r="B56" s="18">
        <v>44687</v>
      </c>
      <c r="C56" s="1" t="s">
        <v>276</v>
      </c>
      <c r="D56" s="1"/>
      <c r="E56" s="1"/>
      <c r="F56" s="1" t="s">
        <v>277</v>
      </c>
      <c r="G56" s="1" t="s">
        <v>559</v>
      </c>
      <c r="H56" s="7" t="s">
        <v>560</v>
      </c>
    </row>
    <row r="57" spans="1:8" ht="52">
      <c r="A57" s="1" t="s">
        <v>253</v>
      </c>
      <c r="B57" s="18">
        <v>44734</v>
      </c>
      <c r="C57" s="1" t="s">
        <v>561</v>
      </c>
      <c r="D57" s="1"/>
      <c r="E57" s="1"/>
      <c r="F57" s="1" t="s">
        <v>562</v>
      </c>
      <c r="G57" s="1" t="s">
        <v>522</v>
      </c>
      <c r="H57" s="7" t="s">
        <v>563</v>
      </c>
    </row>
    <row r="58" spans="1:8" ht="52">
      <c r="A58" s="1" t="s">
        <v>253</v>
      </c>
      <c r="B58" s="18">
        <v>44737</v>
      </c>
      <c r="C58" s="1" t="s">
        <v>39</v>
      </c>
      <c r="D58" s="1" t="s">
        <v>550</v>
      </c>
      <c r="E58" s="1"/>
      <c r="F58" s="1" t="s">
        <v>440</v>
      </c>
      <c r="G58" s="1" t="s">
        <v>461</v>
      </c>
      <c r="H58" s="1"/>
    </row>
    <row r="59" spans="1:8" ht="52">
      <c r="A59" s="1" t="s">
        <v>253</v>
      </c>
      <c r="B59" s="18">
        <v>44737</v>
      </c>
      <c r="C59" s="1" t="s">
        <v>564</v>
      </c>
      <c r="D59" s="1" t="s">
        <v>510</v>
      </c>
      <c r="E59" s="1"/>
      <c r="F59" s="1" t="s">
        <v>440</v>
      </c>
      <c r="G59" s="1" t="s">
        <v>461</v>
      </c>
      <c r="H59" s="1"/>
    </row>
    <row r="60" spans="1:8" ht="52">
      <c r="A60" s="1" t="s">
        <v>253</v>
      </c>
      <c r="B60" s="18">
        <v>44737</v>
      </c>
      <c r="C60" s="1" t="s">
        <v>565</v>
      </c>
      <c r="D60" s="1" t="s">
        <v>566</v>
      </c>
      <c r="E60" s="1"/>
      <c r="F60" s="1" t="s">
        <v>440</v>
      </c>
      <c r="G60" s="1" t="s">
        <v>461</v>
      </c>
      <c r="H60" s="1"/>
    </row>
    <row r="61" spans="1:8" ht="39">
      <c r="A61" s="1" t="s">
        <v>253</v>
      </c>
      <c r="B61" s="18">
        <v>44737</v>
      </c>
      <c r="C61" s="1" t="s">
        <v>567</v>
      </c>
      <c r="D61" s="1" t="s">
        <v>568</v>
      </c>
      <c r="E61" s="1"/>
      <c r="F61" s="1" t="s">
        <v>440</v>
      </c>
      <c r="G61" s="1" t="s">
        <v>461</v>
      </c>
      <c r="H61" s="1"/>
    </row>
    <row r="62" spans="1:8" ht="39">
      <c r="A62" s="1" t="s">
        <v>569</v>
      </c>
      <c r="B62" s="18">
        <v>44869</v>
      </c>
      <c r="C62" s="1" t="s">
        <v>570</v>
      </c>
      <c r="D62" s="1"/>
      <c r="E62" s="1"/>
      <c r="F62" s="1" t="s">
        <v>571</v>
      </c>
      <c r="G62" s="1" t="s">
        <v>572</v>
      </c>
      <c r="H62" s="1"/>
    </row>
    <row r="63" spans="1:8" ht="52">
      <c r="A63" s="1" t="s">
        <v>253</v>
      </c>
      <c r="B63" s="18">
        <v>44883</v>
      </c>
      <c r="C63" s="1" t="s">
        <v>567</v>
      </c>
      <c r="D63" s="1" t="s">
        <v>568</v>
      </c>
      <c r="E63" s="1"/>
      <c r="F63" s="1" t="s">
        <v>573</v>
      </c>
      <c r="G63" s="1" t="s">
        <v>572</v>
      </c>
      <c r="H63" s="1"/>
    </row>
    <row r="64" spans="1:8" ht="52">
      <c r="A64" s="1" t="s">
        <v>253</v>
      </c>
      <c r="B64" s="18">
        <v>44884</v>
      </c>
      <c r="C64" s="1" t="s">
        <v>39</v>
      </c>
      <c r="D64" s="1" t="s">
        <v>550</v>
      </c>
      <c r="E64" s="1"/>
      <c r="F64" s="1" t="s">
        <v>573</v>
      </c>
      <c r="G64" s="1" t="s">
        <v>572</v>
      </c>
      <c r="H64" s="1"/>
    </row>
    <row r="65" spans="1:8" ht="52">
      <c r="A65" s="1" t="s">
        <v>253</v>
      </c>
      <c r="B65" s="18">
        <v>44935</v>
      </c>
      <c r="C65" s="1" t="s">
        <v>39</v>
      </c>
      <c r="D65" s="1" t="s">
        <v>550</v>
      </c>
      <c r="E65" s="1"/>
      <c r="F65" s="1" t="s">
        <v>263</v>
      </c>
      <c r="G65" s="1" t="s">
        <v>572</v>
      </c>
      <c r="H65" s="1"/>
    </row>
    <row r="66" spans="1:8" ht="39">
      <c r="A66" s="1" t="s">
        <v>445</v>
      </c>
      <c r="B66" s="18">
        <v>44935</v>
      </c>
      <c r="C66" s="1" t="s">
        <v>574</v>
      </c>
      <c r="D66" s="1" t="s">
        <v>510</v>
      </c>
      <c r="E66" s="1"/>
      <c r="F66" s="1" t="s">
        <v>263</v>
      </c>
      <c r="G66" s="1" t="s">
        <v>454</v>
      </c>
      <c r="H66" s="1"/>
    </row>
    <row r="67" spans="1:8" ht="26">
      <c r="A67" s="1" t="s">
        <v>504</v>
      </c>
      <c r="B67" s="18">
        <v>44952</v>
      </c>
      <c r="C67" s="1" t="s">
        <v>575</v>
      </c>
      <c r="D67" s="1"/>
      <c r="E67" s="1"/>
      <c r="F67" s="1" t="s">
        <v>576</v>
      </c>
      <c r="G67" s="1" t="s">
        <v>454</v>
      </c>
      <c r="H67" s="1"/>
    </row>
    <row r="68" spans="1:8" ht="39">
      <c r="A68" s="1" t="s">
        <v>569</v>
      </c>
      <c r="B68" s="18">
        <v>45068</v>
      </c>
      <c r="C68" s="1" t="s">
        <v>577</v>
      </c>
      <c r="D68" s="1"/>
      <c r="E68" s="1"/>
      <c r="F68" s="1" t="s">
        <v>578</v>
      </c>
      <c r="G68" s="1" t="s">
        <v>444</v>
      </c>
      <c r="H68" s="1"/>
    </row>
    <row r="69" spans="1:8" ht="39">
      <c r="A69" s="1" t="s">
        <v>253</v>
      </c>
      <c r="B69" s="18">
        <v>45077</v>
      </c>
      <c r="C69" s="1" t="s">
        <v>579</v>
      </c>
      <c r="D69" s="1" t="s">
        <v>546</v>
      </c>
      <c r="E69" s="1"/>
      <c r="F69" s="1" t="s">
        <v>440</v>
      </c>
      <c r="G69" s="1" t="s">
        <v>580</v>
      </c>
      <c r="H69" s="1"/>
    </row>
    <row r="70" spans="1:8" ht="52">
      <c r="A70" s="1" t="s">
        <v>253</v>
      </c>
      <c r="B70" s="18">
        <v>45077</v>
      </c>
      <c r="C70" s="1" t="s">
        <v>581</v>
      </c>
      <c r="D70" s="1" t="s">
        <v>510</v>
      </c>
      <c r="E70" s="1"/>
      <c r="F70" s="1" t="s">
        <v>440</v>
      </c>
      <c r="G70" s="1" t="s">
        <v>580</v>
      </c>
      <c r="H70" s="1"/>
    </row>
    <row r="71" spans="1:8" ht="130">
      <c r="A71" s="1" t="s">
        <v>253</v>
      </c>
      <c r="B71" s="18">
        <v>45092</v>
      </c>
      <c r="C71" s="1" t="s">
        <v>582</v>
      </c>
      <c r="D71" s="1" t="s">
        <v>583</v>
      </c>
      <c r="E71" s="1"/>
      <c r="F71" s="1" t="s">
        <v>584</v>
      </c>
      <c r="G71" s="1" t="s">
        <v>585</v>
      </c>
      <c r="H71" s="1"/>
    </row>
    <row r="72" spans="1:8" ht="39">
      <c r="A72" s="2" t="s">
        <v>448</v>
      </c>
      <c r="B72" s="18">
        <v>45222</v>
      </c>
      <c r="C72" s="1" t="s">
        <v>586</v>
      </c>
      <c r="D72" s="1"/>
      <c r="F72" s="1" t="s">
        <v>587</v>
      </c>
      <c r="G72" s="1" t="s">
        <v>454</v>
      </c>
      <c r="H72" s="1"/>
    </row>
    <row r="73" spans="1:8" ht="52">
      <c r="A73" s="1" t="s">
        <v>445</v>
      </c>
      <c r="B73" s="18">
        <v>45301</v>
      </c>
      <c r="C73" s="1" t="s">
        <v>588</v>
      </c>
      <c r="D73" s="1" t="s">
        <v>589</v>
      </c>
      <c r="E73" s="1"/>
      <c r="F73" s="1"/>
      <c r="G73" s="1" t="s">
        <v>454</v>
      </c>
      <c r="H73" s="1"/>
    </row>
    <row r="74" spans="1:8" ht="65">
      <c r="A74" s="1" t="s">
        <v>253</v>
      </c>
      <c r="B74" s="18">
        <v>45302</v>
      </c>
      <c r="C74" s="1" t="s">
        <v>588</v>
      </c>
      <c r="D74" s="1" t="s">
        <v>589</v>
      </c>
      <c r="E74" s="1"/>
      <c r="F74" s="1" t="s">
        <v>503</v>
      </c>
      <c r="G74" s="1" t="s">
        <v>454</v>
      </c>
      <c r="H74" s="1"/>
    </row>
    <row r="75" spans="1:8" ht="65">
      <c r="A75" s="1" t="s">
        <v>253</v>
      </c>
      <c r="B75" s="18">
        <v>45302</v>
      </c>
      <c r="C75" s="1" t="s">
        <v>25</v>
      </c>
      <c r="D75" s="1" t="s">
        <v>510</v>
      </c>
      <c r="E75" s="1"/>
      <c r="F75" s="1" t="s">
        <v>503</v>
      </c>
      <c r="G75" s="1" t="s">
        <v>454</v>
      </c>
      <c r="H75" s="1"/>
    </row>
    <row r="76" spans="1:8" ht="78">
      <c r="A76" s="1" t="s">
        <v>504</v>
      </c>
      <c r="B76" s="18">
        <v>45402</v>
      </c>
      <c r="C76" s="1" t="s">
        <v>590</v>
      </c>
      <c r="D76" s="1" t="s">
        <v>591</v>
      </c>
      <c r="E76" s="1"/>
      <c r="F76" s="1" t="s">
        <v>592</v>
      </c>
      <c r="G76" s="1" t="s">
        <v>454</v>
      </c>
      <c r="H76" s="1"/>
    </row>
    <row r="77" spans="1:8" ht="26">
      <c r="A77" s="1" t="s">
        <v>253</v>
      </c>
      <c r="B77" s="18">
        <v>45435</v>
      </c>
      <c r="C77" s="1" t="s">
        <v>593</v>
      </c>
      <c r="D77" s="1"/>
      <c r="E77" s="1"/>
      <c r="F77" s="1" t="s">
        <v>594</v>
      </c>
      <c r="G77" s="1" t="s">
        <v>464</v>
      </c>
      <c r="H77" s="1"/>
    </row>
    <row r="78" spans="1:8" ht="52">
      <c r="A78" s="1" t="s">
        <v>253</v>
      </c>
      <c r="B78" s="18">
        <v>45455</v>
      </c>
      <c r="C78" s="1" t="s">
        <v>595</v>
      </c>
      <c r="D78" s="1" t="s">
        <v>596</v>
      </c>
      <c r="E78" s="1"/>
      <c r="F78" s="1" t="s">
        <v>597</v>
      </c>
      <c r="G78" s="1" t="s">
        <v>598</v>
      </c>
      <c r="H78" s="1"/>
    </row>
    <row r="79" spans="1:8" ht="52">
      <c r="A79" s="1" t="s">
        <v>253</v>
      </c>
      <c r="B79" s="18">
        <v>45457</v>
      </c>
      <c r="C79" s="1" t="s">
        <v>599</v>
      </c>
      <c r="D79" s="1" t="s">
        <v>600</v>
      </c>
      <c r="E79" s="1"/>
      <c r="F79" s="1" t="s">
        <v>440</v>
      </c>
      <c r="G79" s="1" t="s">
        <v>601</v>
      </c>
      <c r="H79" s="1"/>
    </row>
    <row r="80" spans="1:8" ht="39">
      <c r="A80" s="1" t="s">
        <v>253</v>
      </c>
      <c r="B80" s="18">
        <v>45457</v>
      </c>
      <c r="C80" s="1" t="s">
        <v>602</v>
      </c>
      <c r="D80" s="1"/>
      <c r="E80" s="1"/>
      <c r="F80" s="1" t="s">
        <v>440</v>
      </c>
      <c r="G80" s="1" t="s">
        <v>601</v>
      </c>
      <c r="H80" s="1"/>
    </row>
    <row r="81" spans="1:8" ht="52">
      <c r="A81" s="1" t="s">
        <v>504</v>
      </c>
      <c r="B81" s="18">
        <v>45457</v>
      </c>
      <c r="C81" s="1" t="s">
        <v>603</v>
      </c>
      <c r="D81" s="1" t="s">
        <v>604</v>
      </c>
      <c r="E81" s="1"/>
      <c r="F81" s="1" t="s">
        <v>440</v>
      </c>
      <c r="G81" s="1" t="s">
        <v>601</v>
      </c>
      <c r="H81" s="1"/>
    </row>
    <row r="82" spans="1:8" ht="52">
      <c r="A82" s="1" t="s">
        <v>253</v>
      </c>
      <c r="B82" s="18">
        <v>45460</v>
      </c>
      <c r="C82" s="1" t="s">
        <v>245</v>
      </c>
      <c r="D82" s="1" t="s">
        <v>605</v>
      </c>
      <c r="E82" s="1"/>
      <c r="F82" s="1" t="s">
        <v>606</v>
      </c>
      <c r="G82" s="1" t="s">
        <v>444</v>
      </c>
      <c r="H82" s="1"/>
    </row>
    <row r="83" spans="1:8" ht="52">
      <c r="A83" s="1" t="s">
        <v>445</v>
      </c>
      <c r="B83" s="18">
        <v>45460</v>
      </c>
      <c r="C83" s="1" t="s">
        <v>588</v>
      </c>
      <c r="D83" s="1" t="s">
        <v>589</v>
      </c>
      <c r="E83" s="1"/>
      <c r="F83" s="1" t="s">
        <v>606</v>
      </c>
      <c r="G83" s="1" t="s">
        <v>444</v>
      </c>
      <c r="H83" s="1"/>
    </row>
    <row r="84" spans="1:8" ht="104">
      <c r="A84" s="1" t="s">
        <v>253</v>
      </c>
      <c r="B84" s="18">
        <v>45463</v>
      </c>
      <c r="C84" s="1" t="s">
        <v>607</v>
      </c>
      <c r="D84" s="1" t="s">
        <v>608</v>
      </c>
      <c r="E84" s="1"/>
      <c r="F84" s="1" t="s">
        <v>609</v>
      </c>
      <c r="G84" s="1" t="s">
        <v>610</v>
      </c>
      <c r="H84" s="1"/>
    </row>
    <row r="85" spans="1:8" ht="39">
      <c r="A85" s="1" t="s">
        <v>253</v>
      </c>
      <c r="B85" s="18">
        <v>45511</v>
      </c>
      <c r="C85" s="1" t="s">
        <v>25</v>
      </c>
      <c r="D85" s="1" t="s">
        <v>510</v>
      </c>
      <c r="E85" s="1"/>
      <c r="F85" s="1" t="s">
        <v>611</v>
      </c>
      <c r="G85" s="1" t="s">
        <v>598</v>
      </c>
      <c r="H85" s="1"/>
    </row>
    <row r="86" spans="1:8" ht="52">
      <c r="A86" s="1" t="s">
        <v>253</v>
      </c>
      <c r="B86" s="18">
        <v>45512</v>
      </c>
      <c r="C86" s="1" t="s">
        <v>599</v>
      </c>
      <c r="D86" s="1" t="s">
        <v>600</v>
      </c>
      <c r="E86" s="1"/>
      <c r="F86" s="1" t="s">
        <v>611</v>
      </c>
      <c r="G86" s="1" t="s">
        <v>598</v>
      </c>
      <c r="H86" s="1"/>
    </row>
    <row r="87" spans="1:8" ht="52">
      <c r="A87" s="1" t="s">
        <v>448</v>
      </c>
      <c r="B87" s="18">
        <v>45512</v>
      </c>
      <c r="C87" s="1" t="s">
        <v>612</v>
      </c>
      <c r="D87" s="1" t="s">
        <v>613</v>
      </c>
      <c r="E87" s="1"/>
      <c r="F87" s="1" t="s">
        <v>611</v>
      </c>
      <c r="G87" s="1" t="s">
        <v>598</v>
      </c>
      <c r="H87" s="1"/>
    </row>
  </sheetData>
  <hyperlinks>
    <hyperlink ref="H9" r:id="rId1" xr:uid="{00000000-0004-0000-0100-000000000000}"/>
    <hyperlink ref="H10" r:id="rId2" xr:uid="{00000000-0004-0000-0100-000001000000}"/>
    <hyperlink ref="H15" r:id="rId3" xr:uid="{00000000-0004-0000-0100-000002000000}"/>
    <hyperlink ref="H37" r:id="rId4" xr:uid="{00000000-0004-0000-0100-000003000000}"/>
    <hyperlink ref="H43" r:id="rId5" xr:uid="{00000000-0004-0000-0100-000004000000}"/>
    <hyperlink ref="H45" r:id="rId6" xr:uid="{00000000-0004-0000-0100-000005000000}"/>
    <hyperlink ref="H46" r:id="rId7" xr:uid="{00000000-0004-0000-0100-000006000000}"/>
    <hyperlink ref="H47" r:id="rId8" xr:uid="{00000000-0004-0000-0100-000007000000}"/>
    <hyperlink ref="H48" r:id="rId9" xr:uid="{00000000-0004-0000-0100-000008000000}"/>
    <hyperlink ref="H50" r:id="rId10" xr:uid="{00000000-0004-0000-0100-000009000000}"/>
    <hyperlink ref="H56" r:id="rId11" xr:uid="{00000000-0004-0000-0100-00000A000000}"/>
    <hyperlink ref="H57" r:id="rId12" xr:uid="{00000000-0004-0000-01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1"/>
  <sheetViews>
    <sheetView workbookViewId="0"/>
  </sheetViews>
  <sheetFormatPr defaultColWidth="12.6328125" defaultRowHeight="15.75" customHeight="1"/>
  <cols>
    <col min="1" max="1" width="9.453125" customWidth="1"/>
    <col min="2" max="2" width="9.08984375" customWidth="1"/>
    <col min="3" max="4" width="18.36328125" customWidth="1"/>
    <col min="5" max="5" width="81.36328125" customWidth="1"/>
  </cols>
  <sheetData>
    <row r="1" spans="1:5" ht="15.75" customHeight="1">
      <c r="A1" s="1" t="s">
        <v>430</v>
      </c>
      <c r="B1" s="1" t="s">
        <v>614</v>
      </c>
      <c r="C1" s="1" t="s">
        <v>615</v>
      </c>
      <c r="D1" s="1" t="s">
        <v>616</v>
      </c>
      <c r="E1" s="1" t="s">
        <v>617</v>
      </c>
    </row>
    <row r="2" spans="1:5" ht="15.75" customHeight="1">
      <c r="A2" s="21">
        <v>45517</v>
      </c>
      <c r="B2" s="8">
        <v>0</v>
      </c>
      <c r="C2" s="1" t="s">
        <v>618</v>
      </c>
      <c r="D2" s="8" t="s">
        <v>619</v>
      </c>
      <c r="E2" s="8" t="s">
        <v>620</v>
      </c>
    </row>
    <row r="3" spans="1:5" ht="15.75" customHeight="1">
      <c r="A3" s="21">
        <v>45512</v>
      </c>
      <c r="B3" s="8">
        <v>0</v>
      </c>
      <c r="C3" s="1" t="s">
        <v>621</v>
      </c>
      <c r="D3" s="8" t="s">
        <v>619</v>
      </c>
      <c r="E3" s="8" t="s">
        <v>622</v>
      </c>
    </row>
    <row r="4" spans="1:5" ht="15.75" customHeight="1">
      <c r="A4" s="21">
        <v>45502</v>
      </c>
      <c r="B4" s="8">
        <v>1</v>
      </c>
      <c r="C4" s="1" t="s">
        <v>623</v>
      </c>
      <c r="D4" s="8" t="s">
        <v>619</v>
      </c>
      <c r="E4" s="8" t="s">
        <v>624</v>
      </c>
    </row>
    <row r="5" spans="1:5" ht="15.75" customHeight="1">
      <c r="A5" s="21">
        <v>45474</v>
      </c>
      <c r="B5" s="8">
        <v>1</v>
      </c>
      <c r="C5" s="8" t="s">
        <v>625</v>
      </c>
      <c r="D5" s="8" t="s">
        <v>626</v>
      </c>
      <c r="E5" s="8" t="s">
        <v>627</v>
      </c>
    </row>
    <row r="6" spans="1:5" ht="15.75" customHeight="1">
      <c r="A6" s="21">
        <v>45462</v>
      </c>
      <c r="B6" s="8">
        <v>0</v>
      </c>
      <c r="C6" s="8" t="s">
        <v>628</v>
      </c>
      <c r="D6" s="8" t="s">
        <v>629</v>
      </c>
      <c r="E6" s="8" t="s">
        <v>630</v>
      </c>
    </row>
    <row r="7" spans="1:5" ht="15.75" customHeight="1">
      <c r="A7" s="21">
        <v>45461</v>
      </c>
      <c r="B7" s="8">
        <v>1</v>
      </c>
      <c r="C7" s="1" t="s">
        <v>631</v>
      </c>
      <c r="D7" s="8" t="s">
        <v>626</v>
      </c>
      <c r="E7" s="1" t="s">
        <v>632</v>
      </c>
    </row>
    <row r="8" spans="1:5" ht="15.75" customHeight="1">
      <c r="A8" s="21">
        <v>45446</v>
      </c>
      <c r="B8" s="8">
        <v>0</v>
      </c>
      <c r="C8" s="1" t="s">
        <v>633</v>
      </c>
      <c r="D8" s="8" t="s">
        <v>619</v>
      </c>
      <c r="E8" s="1" t="s">
        <v>634</v>
      </c>
    </row>
    <row r="9" spans="1:5" ht="15.75" customHeight="1">
      <c r="A9" s="21">
        <v>45426</v>
      </c>
      <c r="B9" s="8">
        <v>0</v>
      </c>
      <c r="C9" s="1" t="s">
        <v>635</v>
      </c>
      <c r="D9" s="8" t="s">
        <v>619</v>
      </c>
      <c r="E9" s="1" t="s">
        <v>636</v>
      </c>
    </row>
    <row r="10" spans="1:5" ht="15.75" customHeight="1">
      <c r="A10" s="21">
        <v>45417</v>
      </c>
      <c r="B10" s="8">
        <v>0</v>
      </c>
      <c r="C10" s="1" t="s">
        <v>628</v>
      </c>
      <c r="D10" s="8" t="s">
        <v>629</v>
      </c>
      <c r="E10" s="1" t="s">
        <v>637</v>
      </c>
    </row>
    <row r="11" spans="1:5" ht="15.75" customHeight="1">
      <c r="A11" s="21">
        <v>45409</v>
      </c>
      <c r="B11" s="8">
        <v>1</v>
      </c>
      <c r="C11" s="1" t="s">
        <v>638</v>
      </c>
      <c r="D11" s="8" t="s">
        <v>619</v>
      </c>
      <c r="E11" s="1" t="s">
        <v>639</v>
      </c>
    </row>
    <row r="12" spans="1:5" ht="15.75" customHeight="1">
      <c r="A12" s="21">
        <v>45401</v>
      </c>
      <c r="B12" s="8">
        <v>1</v>
      </c>
      <c r="C12" s="1" t="s">
        <v>640</v>
      </c>
      <c r="D12" s="8" t="s">
        <v>619</v>
      </c>
      <c r="E12" s="1" t="s">
        <v>641</v>
      </c>
    </row>
    <row r="13" spans="1:5" ht="15.75" customHeight="1">
      <c r="A13" s="21">
        <v>45379</v>
      </c>
      <c r="B13" s="8">
        <v>1</v>
      </c>
      <c r="C13" s="1" t="s">
        <v>318</v>
      </c>
      <c r="D13" s="8" t="s">
        <v>619</v>
      </c>
      <c r="E13" s="1" t="s">
        <v>642</v>
      </c>
    </row>
    <row r="14" spans="1:5" ht="15.75" customHeight="1">
      <c r="A14" s="21">
        <v>45372</v>
      </c>
      <c r="B14" s="8">
        <v>0</v>
      </c>
      <c r="C14" s="1" t="s">
        <v>640</v>
      </c>
      <c r="D14" s="8" t="s">
        <v>619</v>
      </c>
      <c r="E14" s="1" t="s">
        <v>643</v>
      </c>
    </row>
    <row r="15" spans="1:5" ht="15.75" customHeight="1">
      <c r="A15" s="21">
        <v>45370</v>
      </c>
      <c r="B15" s="8">
        <v>0</v>
      </c>
      <c r="C15" s="1" t="s">
        <v>623</v>
      </c>
      <c r="D15" s="8" t="s">
        <v>619</v>
      </c>
      <c r="E15" s="1" t="s">
        <v>644</v>
      </c>
    </row>
    <row r="16" spans="1:5" ht="15.75" customHeight="1">
      <c r="A16" s="21">
        <v>45369</v>
      </c>
      <c r="B16" s="8">
        <v>0</v>
      </c>
      <c r="C16" s="1" t="s">
        <v>645</v>
      </c>
      <c r="D16" s="8" t="s">
        <v>646</v>
      </c>
      <c r="E16" s="1" t="s">
        <v>647</v>
      </c>
    </row>
    <row r="17" spans="1:5" ht="15.75" customHeight="1">
      <c r="A17" s="21">
        <v>45355</v>
      </c>
      <c r="B17" s="8">
        <v>0</v>
      </c>
      <c r="C17" s="1" t="s">
        <v>648</v>
      </c>
      <c r="D17" s="8" t="s">
        <v>619</v>
      </c>
      <c r="E17" s="1" t="s">
        <v>649</v>
      </c>
    </row>
    <row r="18" spans="1:5" ht="15.75" customHeight="1">
      <c r="A18" s="21">
        <v>45325</v>
      </c>
      <c r="B18" s="8">
        <v>1</v>
      </c>
      <c r="C18" s="1" t="s">
        <v>650</v>
      </c>
      <c r="D18" s="8" t="s">
        <v>619</v>
      </c>
      <c r="E18" s="1" t="s">
        <v>651</v>
      </c>
    </row>
    <row r="19" spans="1:5" ht="15.75" customHeight="1">
      <c r="A19" s="21">
        <v>45308</v>
      </c>
      <c r="B19" s="8">
        <v>1</v>
      </c>
      <c r="C19" s="1" t="s">
        <v>623</v>
      </c>
      <c r="D19" s="8" t="s">
        <v>619</v>
      </c>
      <c r="E19" s="1" t="s">
        <v>652</v>
      </c>
    </row>
    <row r="20" spans="1:5" ht="15.75" customHeight="1">
      <c r="A20" s="21">
        <v>45264</v>
      </c>
      <c r="B20" s="8">
        <v>1</v>
      </c>
      <c r="C20" s="1" t="s">
        <v>653</v>
      </c>
      <c r="D20" s="8" t="s">
        <v>619</v>
      </c>
      <c r="E20" s="1" t="s">
        <v>654</v>
      </c>
    </row>
    <row r="21" spans="1:5" ht="15.75" customHeight="1">
      <c r="A21" s="21">
        <v>45247</v>
      </c>
      <c r="B21" s="8">
        <v>0</v>
      </c>
      <c r="C21" s="1" t="s">
        <v>645</v>
      </c>
      <c r="D21" s="8" t="s">
        <v>646</v>
      </c>
      <c r="E21" s="1" t="s">
        <v>655</v>
      </c>
    </row>
    <row r="22" spans="1:5" ht="15.75" customHeight="1">
      <c r="A22" s="21">
        <v>45243</v>
      </c>
      <c r="B22" s="8">
        <v>0</v>
      </c>
      <c r="C22" s="4" t="s">
        <v>656</v>
      </c>
      <c r="D22" s="8" t="s">
        <v>619</v>
      </c>
      <c r="E22" s="1" t="s">
        <v>657</v>
      </c>
    </row>
    <row r="23" spans="1:5" ht="15.75" customHeight="1">
      <c r="A23" s="21">
        <v>45238</v>
      </c>
      <c r="B23" s="8">
        <v>0</v>
      </c>
      <c r="C23" s="1" t="s">
        <v>658</v>
      </c>
      <c r="D23" s="8" t="s">
        <v>646</v>
      </c>
      <c r="E23" s="1" t="s">
        <v>659</v>
      </c>
    </row>
    <row r="24" spans="1:5" ht="15.75" customHeight="1">
      <c r="A24" s="21">
        <v>45237</v>
      </c>
      <c r="B24" s="8">
        <v>1</v>
      </c>
      <c r="C24" s="8" t="s">
        <v>377</v>
      </c>
      <c r="D24" s="8" t="s">
        <v>619</v>
      </c>
      <c r="E24" s="1" t="s">
        <v>660</v>
      </c>
    </row>
    <row r="25" spans="1:5" ht="15.75" customHeight="1">
      <c r="A25" s="21">
        <v>45237</v>
      </c>
      <c r="B25" s="8">
        <v>0</v>
      </c>
      <c r="C25" s="8" t="s">
        <v>398</v>
      </c>
      <c r="D25" s="8" t="s">
        <v>619</v>
      </c>
      <c r="E25" s="8" t="s">
        <v>661</v>
      </c>
    </row>
    <row r="26" spans="1:5" ht="15.75" customHeight="1">
      <c r="A26" s="22">
        <v>45237</v>
      </c>
      <c r="B26" s="8">
        <v>1</v>
      </c>
      <c r="C26" s="8" t="s">
        <v>640</v>
      </c>
      <c r="D26" s="8" t="s">
        <v>619</v>
      </c>
      <c r="E26" s="8" t="s">
        <v>662</v>
      </c>
    </row>
    <row r="27" spans="1:5" ht="15.75" customHeight="1">
      <c r="A27" s="22">
        <v>45236</v>
      </c>
      <c r="B27" s="8">
        <v>0</v>
      </c>
      <c r="C27" s="1" t="s">
        <v>663</v>
      </c>
      <c r="D27" s="8" t="s">
        <v>619</v>
      </c>
      <c r="E27" s="1" t="s">
        <v>664</v>
      </c>
    </row>
    <row r="28" spans="1:5" ht="15.75" customHeight="1">
      <c r="A28" s="22">
        <v>45236</v>
      </c>
      <c r="B28" s="8">
        <v>0</v>
      </c>
      <c r="C28" s="1" t="s">
        <v>618</v>
      </c>
      <c r="D28" s="8" t="s">
        <v>619</v>
      </c>
      <c r="E28" s="1" t="s">
        <v>665</v>
      </c>
    </row>
    <row r="29" spans="1:5" ht="15.75" customHeight="1">
      <c r="A29" s="21">
        <v>45205</v>
      </c>
      <c r="B29" s="23">
        <v>1</v>
      </c>
      <c r="C29" s="8" t="s">
        <v>618</v>
      </c>
      <c r="D29" s="8" t="s">
        <v>619</v>
      </c>
      <c r="E29" s="8" t="s">
        <v>666</v>
      </c>
    </row>
    <row r="30" spans="1:5" ht="15.75" customHeight="1">
      <c r="A30" s="3">
        <v>45205</v>
      </c>
      <c r="B30" s="8">
        <v>1</v>
      </c>
      <c r="C30" s="1" t="s">
        <v>667</v>
      </c>
      <c r="D30" s="8" t="s">
        <v>668</v>
      </c>
      <c r="E30" s="1" t="s">
        <v>669</v>
      </c>
    </row>
    <row r="31" spans="1:5" ht="15.75" customHeight="1">
      <c r="A31" s="3">
        <v>45205</v>
      </c>
      <c r="B31" s="8"/>
      <c r="C31" s="1" t="s">
        <v>653</v>
      </c>
      <c r="D31" s="8" t="s">
        <v>619</v>
      </c>
      <c r="E31" s="1" t="s">
        <v>670</v>
      </c>
    </row>
    <row r="32" spans="1:5" ht="15.75" customHeight="1">
      <c r="A32" s="3">
        <v>45205</v>
      </c>
      <c r="B32" s="8">
        <v>1</v>
      </c>
      <c r="C32" s="1" t="s">
        <v>671</v>
      </c>
      <c r="D32" s="8" t="s">
        <v>619</v>
      </c>
      <c r="E32" s="1" t="s">
        <v>672</v>
      </c>
    </row>
    <row r="33" spans="1:5" ht="39">
      <c r="A33" s="3">
        <v>45205</v>
      </c>
      <c r="B33" s="8">
        <v>1</v>
      </c>
      <c r="C33" s="1" t="s">
        <v>618</v>
      </c>
      <c r="D33" s="8" t="s">
        <v>619</v>
      </c>
      <c r="E33" s="1" t="s">
        <v>673</v>
      </c>
    </row>
    <row r="34" spans="1:5" ht="39">
      <c r="A34" s="3">
        <v>45205</v>
      </c>
      <c r="B34" s="8">
        <v>0</v>
      </c>
      <c r="C34" s="1" t="s">
        <v>674</v>
      </c>
      <c r="D34" s="8" t="s">
        <v>619</v>
      </c>
      <c r="E34" s="1" t="s">
        <v>675</v>
      </c>
    </row>
    <row r="35" spans="1:5" ht="39">
      <c r="A35" s="3">
        <v>45189</v>
      </c>
      <c r="B35" s="8">
        <v>0</v>
      </c>
      <c r="C35" s="1" t="s">
        <v>676</v>
      </c>
      <c r="D35" s="8" t="s">
        <v>677</v>
      </c>
      <c r="E35" s="1" t="s">
        <v>678</v>
      </c>
    </row>
    <row r="36" spans="1:5" ht="39">
      <c r="A36" s="3">
        <v>45042</v>
      </c>
      <c r="B36" s="8">
        <v>0</v>
      </c>
      <c r="C36" s="1" t="s">
        <v>679</v>
      </c>
      <c r="D36" s="8" t="s">
        <v>619</v>
      </c>
      <c r="E36" s="1" t="s">
        <v>680</v>
      </c>
    </row>
    <row r="37" spans="1:5" ht="13">
      <c r="A37" s="3">
        <v>45029</v>
      </c>
      <c r="B37" s="8">
        <v>0</v>
      </c>
      <c r="C37" s="1" t="s">
        <v>681</v>
      </c>
      <c r="D37" s="8" t="s">
        <v>677</v>
      </c>
      <c r="E37" s="1" t="s">
        <v>682</v>
      </c>
    </row>
    <row r="38" spans="1:5" ht="39">
      <c r="A38" s="3">
        <v>44876</v>
      </c>
      <c r="B38" s="8">
        <v>1</v>
      </c>
      <c r="C38" s="1" t="s">
        <v>683</v>
      </c>
      <c r="D38" s="8" t="s">
        <v>646</v>
      </c>
      <c r="E38" s="1" t="s">
        <v>684</v>
      </c>
    </row>
    <row r="39" spans="1:5" ht="39">
      <c r="A39" s="3">
        <v>44872</v>
      </c>
      <c r="B39" s="8">
        <v>0</v>
      </c>
      <c r="C39" s="1" t="s">
        <v>685</v>
      </c>
      <c r="D39" s="8" t="s">
        <v>646</v>
      </c>
      <c r="E39" s="1" t="s">
        <v>686</v>
      </c>
    </row>
    <row r="40" spans="1:5" ht="39">
      <c r="A40" s="3">
        <v>44861</v>
      </c>
      <c r="B40" s="8">
        <v>0</v>
      </c>
      <c r="C40" s="1" t="s">
        <v>674</v>
      </c>
      <c r="D40" s="8" t="s">
        <v>619</v>
      </c>
      <c r="E40" s="1" t="s">
        <v>687</v>
      </c>
    </row>
    <row r="41" spans="1:5" ht="39">
      <c r="A41" s="3">
        <v>44860</v>
      </c>
      <c r="B41" s="8">
        <v>1</v>
      </c>
      <c r="C41" s="1" t="s">
        <v>688</v>
      </c>
      <c r="D41" s="8" t="s">
        <v>619</v>
      </c>
      <c r="E41" s="1" t="s">
        <v>689</v>
      </c>
    </row>
    <row r="42" spans="1:5" ht="39">
      <c r="A42" s="3">
        <v>44860</v>
      </c>
      <c r="B42" s="8">
        <v>0</v>
      </c>
      <c r="C42" s="1" t="s">
        <v>690</v>
      </c>
      <c r="D42" s="8" t="s">
        <v>619</v>
      </c>
      <c r="E42" s="1" t="s">
        <v>691</v>
      </c>
    </row>
    <row r="43" spans="1:5" ht="52">
      <c r="A43" s="3">
        <v>44860</v>
      </c>
      <c r="B43" s="8">
        <v>0</v>
      </c>
      <c r="C43" s="1" t="s">
        <v>692</v>
      </c>
      <c r="D43" s="8" t="s">
        <v>619</v>
      </c>
      <c r="E43" s="1" t="s">
        <v>693</v>
      </c>
    </row>
    <row r="44" spans="1:5" ht="39">
      <c r="A44" s="3">
        <v>44860</v>
      </c>
      <c r="B44" s="8">
        <v>0</v>
      </c>
      <c r="C44" s="1" t="s">
        <v>658</v>
      </c>
      <c r="D44" s="8" t="s">
        <v>646</v>
      </c>
      <c r="E44" s="1" t="s">
        <v>694</v>
      </c>
    </row>
    <row r="45" spans="1:5" ht="26">
      <c r="A45" s="3">
        <v>44860</v>
      </c>
      <c r="B45" s="8">
        <v>0</v>
      </c>
      <c r="C45" s="1" t="s">
        <v>695</v>
      </c>
      <c r="D45" s="8" t="s">
        <v>646</v>
      </c>
      <c r="E45" s="1" t="s">
        <v>696</v>
      </c>
    </row>
    <row r="46" spans="1:5" ht="39">
      <c r="A46" s="3">
        <v>44860</v>
      </c>
      <c r="B46" s="8">
        <v>0</v>
      </c>
      <c r="C46" s="1" t="s">
        <v>697</v>
      </c>
      <c r="D46" s="8" t="s">
        <v>646</v>
      </c>
      <c r="E46" s="1" t="s">
        <v>698</v>
      </c>
    </row>
    <row r="47" spans="1:5" ht="39">
      <c r="A47" s="3">
        <v>44816</v>
      </c>
      <c r="B47" s="8">
        <v>1</v>
      </c>
      <c r="C47" s="1" t="s">
        <v>699</v>
      </c>
      <c r="D47" s="8" t="s">
        <v>619</v>
      </c>
      <c r="E47" s="1" t="s">
        <v>700</v>
      </c>
    </row>
    <row r="48" spans="1:5" ht="52">
      <c r="A48" s="3">
        <v>44792</v>
      </c>
      <c r="B48" s="8">
        <v>0</v>
      </c>
      <c r="C48" s="1"/>
      <c r="D48" s="8" t="s">
        <v>619</v>
      </c>
      <c r="E48" s="1" t="s">
        <v>701</v>
      </c>
    </row>
    <row r="49" spans="1:5" ht="39">
      <c r="A49" s="3">
        <v>44785</v>
      </c>
      <c r="B49" s="8">
        <v>1</v>
      </c>
      <c r="C49" s="1" t="s">
        <v>702</v>
      </c>
      <c r="D49" s="8" t="s">
        <v>619</v>
      </c>
      <c r="E49" s="1" t="s">
        <v>703</v>
      </c>
    </row>
    <row r="50" spans="1:5" ht="26">
      <c r="A50" s="3">
        <v>44784</v>
      </c>
      <c r="B50" s="8">
        <v>1</v>
      </c>
      <c r="C50" s="1" t="s">
        <v>704</v>
      </c>
      <c r="D50" s="8" t="s">
        <v>626</v>
      </c>
      <c r="E50" s="1" t="s">
        <v>705</v>
      </c>
    </row>
    <row r="51" spans="1:5" ht="39">
      <c r="A51" s="3">
        <v>44784</v>
      </c>
      <c r="B51" s="8">
        <v>1</v>
      </c>
      <c r="C51" s="1" t="s">
        <v>704</v>
      </c>
      <c r="D51" s="8" t="s">
        <v>619</v>
      </c>
      <c r="E51" s="1" t="s">
        <v>706</v>
      </c>
    </row>
    <row r="52" spans="1:5" ht="52">
      <c r="A52" s="3">
        <v>44771</v>
      </c>
      <c r="B52" s="8">
        <v>0</v>
      </c>
      <c r="C52" s="1" t="s">
        <v>707</v>
      </c>
      <c r="D52" s="8" t="s">
        <v>619</v>
      </c>
      <c r="E52" s="1" t="s">
        <v>708</v>
      </c>
    </row>
    <row r="53" spans="1:5" ht="52">
      <c r="A53" s="3">
        <v>44754</v>
      </c>
      <c r="B53" s="8">
        <v>0</v>
      </c>
      <c r="C53" s="1" t="s">
        <v>707</v>
      </c>
      <c r="D53" s="8" t="s">
        <v>619</v>
      </c>
      <c r="E53" s="1" t="s">
        <v>709</v>
      </c>
    </row>
    <row r="54" spans="1:5" ht="39">
      <c r="A54" s="3">
        <v>44756</v>
      </c>
      <c r="B54" s="8">
        <v>0</v>
      </c>
      <c r="C54" s="1" t="s">
        <v>710</v>
      </c>
      <c r="D54" s="8" t="s">
        <v>619</v>
      </c>
      <c r="E54" s="1" t="s">
        <v>711</v>
      </c>
    </row>
    <row r="55" spans="1:5" ht="26">
      <c r="A55" s="3">
        <v>44753</v>
      </c>
      <c r="B55" s="8">
        <v>1</v>
      </c>
      <c r="C55" s="1" t="s">
        <v>712</v>
      </c>
      <c r="D55" s="8" t="s">
        <v>619</v>
      </c>
      <c r="E55" s="1" t="s">
        <v>713</v>
      </c>
    </row>
    <row r="56" spans="1:5" ht="39">
      <c r="A56" s="3">
        <v>44749</v>
      </c>
      <c r="B56" s="8">
        <v>0</v>
      </c>
      <c r="C56" s="1" t="s">
        <v>618</v>
      </c>
      <c r="D56" s="8" t="s">
        <v>619</v>
      </c>
      <c r="E56" s="1" t="s">
        <v>714</v>
      </c>
    </row>
    <row r="57" spans="1:5" ht="26">
      <c r="A57" s="3">
        <v>44680</v>
      </c>
      <c r="B57" s="8">
        <v>1</v>
      </c>
      <c r="C57" s="1" t="s">
        <v>715</v>
      </c>
      <c r="D57" s="8" t="s">
        <v>677</v>
      </c>
      <c r="E57" s="1" t="s">
        <v>716</v>
      </c>
    </row>
    <row r="58" spans="1:5" ht="39">
      <c r="A58" s="3">
        <v>44677</v>
      </c>
      <c r="B58" s="8">
        <v>0</v>
      </c>
      <c r="C58" s="1" t="s">
        <v>658</v>
      </c>
      <c r="D58" s="8" t="s">
        <v>646</v>
      </c>
      <c r="E58" s="1" t="s">
        <v>717</v>
      </c>
    </row>
    <row r="59" spans="1:5" ht="39">
      <c r="A59" s="3">
        <v>44645</v>
      </c>
      <c r="B59" s="8">
        <v>0</v>
      </c>
      <c r="C59" s="1" t="s">
        <v>718</v>
      </c>
      <c r="D59" s="8" t="s">
        <v>619</v>
      </c>
      <c r="E59" s="1" t="s">
        <v>719</v>
      </c>
    </row>
    <row r="60" spans="1:5" ht="39">
      <c r="A60" s="3">
        <v>44587</v>
      </c>
      <c r="B60" s="8">
        <v>0</v>
      </c>
      <c r="C60" s="1" t="s">
        <v>720</v>
      </c>
      <c r="D60" s="8" t="s">
        <v>619</v>
      </c>
      <c r="E60" s="1" t="s">
        <v>721</v>
      </c>
    </row>
    <row r="61" spans="1:5" ht="26">
      <c r="A61" s="3">
        <v>44496</v>
      </c>
      <c r="B61" s="8">
        <v>0</v>
      </c>
      <c r="C61" s="1" t="s">
        <v>722</v>
      </c>
      <c r="D61" s="8" t="s">
        <v>619</v>
      </c>
      <c r="E61" s="1" t="s">
        <v>723</v>
      </c>
    </row>
    <row r="62" spans="1:5" ht="26">
      <c r="A62" s="3">
        <v>44346</v>
      </c>
      <c r="B62" s="8">
        <v>1</v>
      </c>
      <c r="C62" s="1" t="s">
        <v>373</v>
      </c>
      <c r="D62" s="8" t="s">
        <v>619</v>
      </c>
      <c r="E62" s="1" t="s">
        <v>724</v>
      </c>
    </row>
    <row r="63" spans="1:5" ht="26">
      <c r="A63" s="3">
        <v>44309</v>
      </c>
      <c r="B63" s="8">
        <v>0</v>
      </c>
      <c r="C63" s="1" t="s">
        <v>725</v>
      </c>
      <c r="D63" s="8" t="s">
        <v>619</v>
      </c>
      <c r="E63" s="1" t="s">
        <v>726</v>
      </c>
    </row>
    <row r="64" spans="1:5" ht="39">
      <c r="A64" s="3">
        <v>44276</v>
      </c>
      <c r="B64" s="8">
        <v>0</v>
      </c>
      <c r="C64" s="1" t="s">
        <v>727</v>
      </c>
      <c r="D64" s="8" t="s">
        <v>619</v>
      </c>
      <c r="E64" s="1" t="s">
        <v>728</v>
      </c>
    </row>
    <row r="65" spans="1:5" ht="26">
      <c r="A65" s="3">
        <v>43893</v>
      </c>
      <c r="B65" s="8">
        <v>1</v>
      </c>
      <c r="C65" s="1" t="s">
        <v>729</v>
      </c>
      <c r="D65" s="8" t="s">
        <v>677</v>
      </c>
      <c r="E65" s="1" t="s">
        <v>730</v>
      </c>
    </row>
    <row r="66" spans="1:5" ht="52">
      <c r="A66" s="3">
        <v>44037</v>
      </c>
      <c r="B66" s="8">
        <v>0</v>
      </c>
      <c r="C66" s="1" t="s">
        <v>671</v>
      </c>
      <c r="D66" s="8" t="s">
        <v>619</v>
      </c>
      <c r="E66" s="1" t="s">
        <v>731</v>
      </c>
    </row>
    <row r="67" spans="1:5" ht="39">
      <c r="A67" s="3">
        <v>43790</v>
      </c>
      <c r="B67" s="8">
        <v>1</v>
      </c>
      <c r="C67" s="1" t="s">
        <v>732</v>
      </c>
      <c r="D67" s="8" t="s">
        <v>619</v>
      </c>
      <c r="E67" s="1" t="s">
        <v>733</v>
      </c>
    </row>
    <row r="68" spans="1:5" ht="39">
      <c r="A68" s="3">
        <v>43784</v>
      </c>
      <c r="B68" s="8">
        <v>1</v>
      </c>
      <c r="C68" s="1" t="s">
        <v>734</v>
      </c>
      <c r="D68" s="8" t="s">
        <v>629</v>
      </c>
      <c r="E68" s="1" t="s">
        <v>735</v>
      </c>
    </row>
    <row r="69" spans="1:5" ht="39">
      <c r="A69" s="3">
        <v>43784</v>
      </c>
      <c r="B69" s="8">
        <v>0</v>
      </c>
      <c r="C69" s="1" t="s">
        <v>658</v>
      </c>
      <c r="D69" s="8" t="s">
        <v>646</v>
      </c>
      <c r="E69" s="1" t="s">
        <v>736</v>
      </c>
    </row>
    <row r="70" spans="1:5" ht="39">
      <c r="A70" s="3">
        <v>43766</v>
      </c>
      <c r="B70" s="8">
        <v>0</v>
      </c>
      <c r="C70" s="1" t="s">
        <v>737</v>
      </c>
      <c r="D70" s="8" t="s">
        <v>619</v>
      </c>
      <c r="E70" s="1" t="s">
        <v>738</v>
      </c>
    </row>
    <row r="71" spans="1:5" ht="39">
      <c r="A71" s="3">
        <v>42143</v>
      </c>
      <c r="B71" s="8">
        <v>0</v>
      </c>
      <c r="C71" s="1" t="s">
        <v>739</v>
      </c>
      <c r="D71" s="8" t="s">
        <v>646</v>
      </c>
      <c r="E71" s="1" t="s">
        <v>740</v>
      </c>
    </row>
  </sheetData>
  <hyperlinks>
    <hyperlink ref="C2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28"/>
  <sheetViews>
    <sheetView workbookViewId="0">
      <pane ySplit="1" topLeftCell="A2" activePane="bottomLeft" state="frozen"/>
      <selection pane="bottomLeft" activeCell="B3" sqref="B3"/>
    </sheetView>
  </sheetViews>
  <sheetFormatPr defaultColWidth="12.6328125" defaultRowHeight="15.75" customHeight="1"/>
  <cols>
    <col min="1" max="2" width="10.81640625" bestFit="1" customWidth="1"/>
    <col min="3" max="3" width="7.26953125" customWidth="1"/>
    <col min="4" max="4" width="19.90625" customWidth="1"/>
    <col min="5" max="5" width="11.7265625" customWidth="1"/>
    <col min="6" max="6" width="10" customWidth="1"/>
    <col min="7" max="7" width="10.90625" customWidth="1"/>
    <col min="8" max="8" width="7.26953125" customWidth="1"/>
    <col min="9" max="9" width="10" customWidth="1"/>
    <col min="10" max="10" width="8.26953125" customWidth="1"/>
    <col min="11" max="11" width="2.7265625" customWidth="1"/>
    <col min="12" max="12" width="4.6328125" customWidth="1"/>
    <col min="13" max="13" width="56.7265625" customWidth="1"/>
    <col min="14" max="15" width="31.6328125" customWidth="1"/>
    <col min="16" max="16" width="42.36328125" customWidth="1"/>
  </cols>
  <sheetData>
    <row r="1" spans="1:16" ht="15.75" customHeight="1">
      <c r="A1" s="13" t="s">
        <v>741</v>
      </c>
      <c r="B1" s="13" t="s">
        <v>742</v>
      </c>
      <c r="C1" s="13" t="s">
        <v>743</v>
      </c>
      <c r="D1" s="13" t="s">
        <v>744</v>
      </c>
      <c r="E1" s="24" t="s">
        <v>745</v>
      </c>
      <c r="F1" s="25" t="s">
        <v>746</v>
      </c>
      <c r="G1" s="13" t="s">
        <v>747</v>
      </c>
      <c r="H1" s="13" t="s">
        <v>748</v>
      </c>
      <c r="I1" s="13" t="s">
        <v>749</v>
      </c>
      <c r="J1" s="13" t="s">
        <v>750</v>
      </c>
      <c r="K1" s="13" t="s">
        <v>751</v>
      </c>
      <c r="L1" s="13" t="s">
        <v>752</v>
      </c>
      <c r="M1" s="13" t="s">
        <v>753</v>
      </c>
      <c r="N1" s="13" t="s">
        <v>435</v>
      </c>
      <c r="O1" s="13" t="s">
        <v>7</v>
      </c>
      <c r="P1" s="13" t="s">
        <v>754</v>
      </c>
    </row>
    <row r="2" spans="1:16" ht="15.75" customHeight="1">
      <c r="A2" s="26">
        <v>43437</v>
      </c>
      <c r="B2" s="26">
        <v>43474</v>
      </c>
      <c r="C2" s="13"/>
      <c r="D2" s="13" t="s">
        <v>755</v>
      </c>
      <c r="E2" s="24">
        <v>50000</v>
      </c>
      <c r="F2" s="24">
        <v>50000</v>
      </c>
      <c r="G2" s="24">
        <v>50000</v>
      </c>
      <c r="H2" s="13">
        <v>0</v>
      </c>
      <c r="I2" s="13">
        <v>0</v>
      </c>
      <c r="J2" s="13">
        <v>1</v>
      </c>
      <c r="K2" s="13">
        <v>1</v>
      </c>
      <c r="L2" s="13">
        <v>0</v>
      </c>
      <c r="M2" s="13" t="s">
        <v>756</v>
      </c>
      <c r="N2" s="13"/>
      <c r="O2" s="13" t="s">
        <v>757</v>
      </c>
      <c r="P2" s="13"/>
    </row>
    <row r="3" spans="1:16" ht="15.75" customHeight="1">
      <c r="A3" s="26">
        <v>43677</v>
      </c>
      <c r="B3" s="26">
        <v>43885</v>
      </c>
      <c r="C3" s="13"/>
      <c r="D3" s="13" t="s">
        <v>758</v>
      </c>
      <c r="E3" s="24">
        <v>270837</v>
      </c>
      <c r="F3" s="24">
        <v>270837</v>
      </c>
      <c r="G3" s="24">
        <v>270837</v>
      </c>
      <c r="H3" s="13">
        <v>0</v>
      </c>
      <c r="I3" s="13">
        <v>0</v>
      </c>
      <c r="J3" s="13">
        <v>1</v>
      </c>
      <c r="K3" s="13">
        <v>1</v>
      </c>
      <c r="L3" s="13">
        <v>0</v>
      </c>
      <c r="M3" s="13" t="s">
        <v>759</v>
      </c>
      <c r="N3" s="13"/>
      <c r="O3" s="13" t="s">
        <v>760</v>
      </c>
      <c r="P3" s="13"/>
    </row>
    <row r="4" spans="1:16" ht="15.75" customHeight="1">
      <c r="A4" s="26">
        <v>43903</v>
      </c>
      <c r="B4" s="26">
        <v>44026</v>
      </c>
      <c r="C4" s="13"/>
      <c r="D4" s="13" t="s">
        <v>758</v>
      </c>
      <c r="E4" s="24">
        <v>332005</v>
      </c>
      <c r="F4" s="24">
        <v>332005</v>
      </c>
      <c r="G4" s="24">
        <v>332005</v>
      </c>
      <c r="H4" s="13">
        <v>0</v>
      </c>
      <c r="I4" s="13">
        <v>0</v>
      </c>
      <c r="J4" s="13">
        <v>1</v>
      </c>
      <c r="K4" s="13">
        <v>1</v>
      </c>
      <c r="L4" s="13">
        <v>0</v>
      </c>
      <c r="M4" s="13" t="s">
        <v>761</v>
      </c>
      <c r="N4" s="13"/>
      <c r="O4" s="13" t="s">
        <v>762</v>
      </c>
      <c r="P4" s="13"/>
    </row>
    <row r="5" spans="1:16" ht="15.75" customHeight="1">
      <c r="A5" s="26">
        <v>44168</v>
      </c>
      <c r="B5" s="26">
        <v>44306</v>
      </c>
      <c r="C5" s="13"/>
      <c r="D5" s="13" t="s">
        <v>763</v>
      </c>
      <c r="E5" s="24">
        <v>403638</v>
      </c>
      <c r="F5" s="24">
        <v>403638</v>
      </c>
      <c r="G5" s="24">
        <v>403638</v>
      </c>
      <c r="H5" s="13">
        <v>0</v>
      </c>
      <c r="I5" s="13">
        <v>0</v>
      </c>
      <c r="J5" s="13">
        <v>1</v>
      </c>
      <c r="K5" s="13">
        <v>1</v>
      </c>
      <c r="L5" s="13">
        <v>0</v>
      </c>
      <c r="M5" s="13" t="s">
        <v>764</v>
      </c>
      <c r="N5" s="13"/>
      <c r="O5" s="13" t="s">
        <v>765</v>
      </c>
      <c r="P5" s="13" t="s">
        <v>766</v>
      </c>
    </row>
    <row r="6" spans="1:16" ht="15.75" customHeight="1">
      <c r="A6" s="26">
        <v>44292</v>
      </c>
      <c r="B6" s="26">
        <v>44409</v>
      </c>
      <c r="C6" s="13"/>
      <c r="D6" s="13" t="s">
        <v>763</v>
      </c>
      <c r="E6" s="24">
        <v>391294</v>
      </c>
      <c r="F6" s="24">
        <v>391294</v>
      </c>
      <c r="G6" s="24">
        <v>391294</v>
      </c>
      <c r="H6" s="13">
        <v>0</v>
      </c>
      <c r="I6" s="13">
        <v>0</v>
      </c>
      <c r="J6" s="13">
        <v>1</v>
      </c>
      <c r="K6" s="13">
        <v>1</v>
      </c>
      <c r="L6" s="13">
        <v>0</v>
      </c>
      <c r="M6" s="13" t="s">
        <v>767</v>
      </c>
      <c r="N6" s="13"/>
      <c r="O6" s="13"/>
      <c r="P6" s="13" t="s">
        <v>766</v>
      </c>
    </row>
    <row r="7" spans="1:16" ht="15.75" customHeight="1">
      <c r="A7" s="26">
        <v>44236</v>
      </c>
      <c r="B7" s="26">
        <v>44425</v>
      </c>
      <c r="C7" s="13"/>
      <c r="D7" s="13" t="s">
        <v>768</v>
      </c>
      <c r="E7" s="24">
        <v>296984</v>
      </c>
      <c r="F7" s="24">
        <v>296984</v>
      </c>
      <c r="G7" s="24">
        <v>296984</v>
      </c>
      <c r="H7" s="13">
        <v>0</v>
      </c>
      <c r="I7" s="13">
        <v>0</v>
      </c>
      <c r="J7" s="13">
        <v>1</v>
      </c>
      <c r="K7" s="13">
        <v>1</v>
      </c>
      <c r="L7" s="13">
        <v>0</v>
      </c>
      <c r="M7" s="13" t="s">
        <v>769</v>
      </c>
      <c r="N7" s="13"/>
      <c r="O7" s="13" t="s">
        <v>770</v>
      </c>
      <c r="P7" s="13"/>
    </row>
    <row r="8" spans="1:16" ht="15.75" customHeight="1">
      <c r="A8" s="26">
        <v>44267</v>
      </c>
      <c r="B8" s="26">
        <v>44483</v>
      </c>
      <c r="C8" s="13"/>
      <c r="D8" s="13" t="s">
        <v>768</v>
      </c>
      <c r="E8" s="24">
        <v>182718</v>
      </c>
      <c r="F8" s="24">
        <v>182718</v>
      </c>
      <c r="G8" s="24">
        <v>182718</v>
      </c>
      <c r="H8" s="13">
        <v>0</v>
      </c>
      <c r="I8" s="13">
        <v>0</v>
      </c>
      <c r="J8" s="13">
        <v>1</v>
      </c>
      <c r="K8" s="13">
        <v>1</v>
      </c>
      <c r="L8" s="13">
        <v>0</v>
      </c>
      <c r="M8" s="13" t="s">
        <v>771</v>
      </c>
      <c r="N8" s="13"/>
      <c r="O8" s="13" t="s">
        <v>772</v>
      </c>
      <c r="P8" s="13" t="s">
        <v>773</v>
      </c>
    </row>
    <row r="9" spans="1:16" ht="15.75" customHeight="1">
      <c r="A9" s="26">
        <v>44461</v>
      </c>
      <c r="B9" s="26">
        <v>44491</v>
      </c>
      <c r="C9" s="13"/>
      <c r="D9" s="13" t="s">
        <v>774</v>
      </c>
      <c r="E9" s="24">
        <v>39811</v>
      </c>
      <c r="F9" s="24">
        <v>39811</v>
      </c>
      <c r="G9" s="24">
        <v>39811</v>
      </c>
      <c r="H9" s="13">
        <v>0</v>
      </c>
      <c r="I9" s="13">
        <v>0</v>
      </c>
      <c r="J9" s="13">
        <v>1</v>
      </c>
      <c r="K9" s="13">
        <v>0</v>
      </c>
      <c r="L9" s="13">
        <v>1</v>
      </c>
      <c r="M9" s="13" t="s">
        <v>775</v>
      </c>
      <c r="N9" s="13"/>
      <c r="O9" s="13" t="s">
        <v>776</v>
      </c>
      <c r="P9" s="13" t="s">
        <v>777</v>
      </c>
    </row>
    <row r="10" spans="1:16" ht="15.75" customHeight="1">
      <c r="A10" s="26">
        <v>44579</v>
      </c>
      <c r="B10" s="26">
        <v>44722</v>
      </c>
      <c r="C10" s="13">
        <v>2215505</v>
      </c>
      <c r="D10" s="13" t="s">
        <v>768</v>
      </c>
      <c r="E10" s="24">
        <v>399999</v>
      </c>
      <c r="F10" s="24">
        <v>399999</v>
      </c>
      <c r="G10" s="24">
        <v>399999</v>
      </c>
      <c r="H10" s="13">
        <v>0</v>
      </c>
      <c r="I10" s="13">
        <v>0</v>
      </c>
      <c r="J10" s="13">
        <v>1</v>
      </c>
      <c r="K10" s="13">
        <v>0</v>
      </c>
      <c r="L10" s="13">
        <v>1</v>
      </c>
      <c r="M10" s="13" t="s">
        <v>764</v>
      </c>
      <c r="N10" s="13"/>
      <c r="O10" s="13" t="s">
        <v>778</v>
      </c>
      <c r="P10" s="13" t="s">
        <v>779</v>
      </c>
    </row>
    <row r="11" spans="1:16" ht="15.75" customHeight="1">
      <c r="A11" s="26">
        <v>44592</v>
      </c>
      <c r="B11" s="26">
        <v>44735</v>
      </c>
      <c r="C11" s="13">
        <v>2218103</v>
      </c>
      <c r="D11" s="13" t="s">
        <v>768</v>
      </c>
      <c r="E11" s="24">
        <v>324673</v>
      </c>
      <c r="F11" s="24">
        <v>324673</v>
      </c>
      <c r="G11" s="24">
        <v>324673</v>
      </c>
      <c r="H11" s="13">
        <v>0</v>
      </c>
      <c r="I11" s="13">
        <v>0</v>
      </c>
      <c r="J11" s="13">
        <v>1</v>
      </c>
      <c r="K11" s="13">
        <v>1</v>
      </c>
      <c r="L11" s="13">
        <v>0</v>
      </c>
      <c r="M11" s="13" t="s">
        <v>764</v>
      </c>
      <c r="N11" s="13"/>
      <c r="O11" s="13" t="s">
        <v>780</v>
      </c>
      <c r="P11" s="13" t="s">
        <v>766</v>
      </c>
    </row>
    <row r="12" spans="1:16" ht="15.75" customHeight="1">
      <c r="A12" s="26">
        <v>44959</v>
      </c>
      <c r="B12" s="26">
        <v>45042</v>
      </c>
      <c r="C12" s="13"/>
      <c r="D12" s="13" t="s">
        <v>781</v>
      </c>
      <c r="E12" s="24">
        <v>51000</v>
      </c>
      <c r="F12" s="24">
        <v>51000</v>
      </c>
      <c r="G12" s="24">
        <v>51000</v>
      </c>
      <c r="H12" s="13">
        <v>0</v>
      </c>
      <c r="I12" s="13">
        <v>0</v>
      </c>
      <c r="J12" s="13">
        <v>1</v>
      </c>
      <c r="K12" s="13">
        <v>1</v>
      </c>
      <c r="L12" s="13">
        <v>0</v>
      </c>
      <c r="M12" s="13" t="s">
        <v>782</v>
      </c>
      <c r="N12" s="27" t="s">
        <v>783</v>
      </c>
      <c r="O12" s="13" t="s">
        <v>784</v>
      </c>
      <c r="P12" s="13"/>
    </row>
    <row r="13" spans="1:16" ht="15.75" customHeight="1">
      <c r="A13" s="26">
        <v>45012</v>
      </c>
      <c r="B13" s="26">
        <v>45189</v>
      </c>
      <c r="C13" s="13"/>
      <c r="D13" s="13" t="s">
        <v>785</v>
      </c>
      <c r="E13" s="24">
        <v>1046552</v>
      </c>
      <c r="F13" s="24">
        <f>E13-690248</f>
        <v>356304</v>
      </c>
      <c r="G13" s="24">
        <v>1046552</v>
      </c>
      <c r="H13" s="13">
        <v>0</v>
      </c>
      <c r="I13" s="13">
        <v>0</v>
      </c>
      <c r="J13" s="13">
        <v>1</v>
      </c>
      <c r="K13" s="13">
        <v>1</v>
      </c>
      <c r="L13" s="13">
        <v>0</v>
      </c>
      <c r="M13" s="13" t="s">
        <v>786</v>
      </c>
      <c r="N13" s="27" t="s">
        <v>787</v>
      </c>
      <c r="O13" s="13" t="s">
        <v>788</v>
      </c>
      <c r="P13" s="13" t="s">
        <v>789</v>
      </c>
    </row>
    <row r="14" spans="1:16" ht="15.75" customHeight="1">
      <c r="A14" s="26">
        <v>45132</v>
      </c>
      <c r="B14" s="26">
        <v>45280</v>
      </c>
      <c r="C14" s="13">
        <v>2338882</v>
      </c>
      <c r="D14" s="13" t="s">
        <v>790</v>
      </c>
      <c r="E14" s="24">
        <v>512523</v>
      </c>
      <c r="F14" s="24">
        <v>512523</v>
      </c>
      <c r="G14" s="24">
        <v>512523</v>
      </c>
      <c r="H14" s="13">
        <v>0</v>
      </c>
      <c r="I14" s="13">
        <v>0</v>
      </c>
      <c r="J14" s="13">
        <v>1</v>
      </c>
      <c r="K14" s="13">
        <v>1</v>
      </c>
      <c r="L14" s="13">
        <v>0</v>
      </c>
      <c r="M14" s="13" t="s">
        <v>764</v>
      </c>
      <c r="N14" s="13"/>
      <c r="O14" s="13" t="s">
        <v>791</v>
      </c>
      <c r="P14" s="13"/>
    </row>
    <row r="15" spans="1:16" ht="15.75" customHeight="1">
      <c r="A15" s="26">
        <v>45139</v>
      </c>
      <c r="B15" s="26">
        <v>45310</v>
      </c>
      <c r="C15" s="13"/>
      <c r="D15" s="13" t="s">
        <v>790</v>
      </c>
      <c r="E15" s="24">
        <v>1500182</v>
      </c>
      <c r="F15" s="24">
        <v>51177</v>
      </c>
      <c r="G15" s="24">
        <v>1500182</v>
      </c>
      <c r="H15" s="13">
        <v>0</v>
      </c>
      <c r="I15" s="13">
        <v>0</v>
      </c>
      <c r="J15" s="13">
        <v>1</v>
      </c>
      <c r="K15" s="13">
        <v>1</v>
      </c>
      <c r="L15" s="13">
        <v>0</v>
      </c>
      <c r="M15" s="13" t="s">
        <v>792</v>
      </c>
      <c r="N15" s="13"/>
      <c r="O15" s="13" t="s">
        <v>793</v>
      </c>
      <c r="P15" s="13" t="s">
        <v>794</v>
      </c>
    </row>
    <row r="16" spans="1:16" ht="15.75" customHeight="1">
      <c r="A16" s="26">
        <v>45233</v>
      </c>
      <c r="B16" s="26">
        <v>45380</v>
      </c>
      <c r="C16" s="13">
        <v>2404884</v>
      </c>
      <c r="D16" s="13" t="s">
        <v>790</v>
      </c>
      <c r="E16" s="24">
        <v>399000</v>
      </c>
      <c r="F16" s="24">
        <v>182235</v>
      </c>
      <c r="G16" s="24">
        <v>399000</v>
      </c>
      <c r="H16" s="13">
        <v>0</v>
      </c>
      <c r="I16" s="13">
        <v>0</v>
      </c>
      <c r="J16" s="13">
        <v>1</v>
      </c>
      <c r="K16" s="13">
        <v>1</v>
      </c>
      <c r="L16" s="13">
        <v>0</v>
      </c>
      <c r="M16" s="13" t="s">
        <v>771</v>
      </c>
      <c r="N16" s="13"/>
      <c r="O16" s="13" t="s">
        <v>772</v>
      </c>
      <c r="P16" s="13" t="s">
        <v>773</v>
      </c>
    </row>
    <row r="17" spans="1:16" ht="15.75" customHeight="1">
      <c r="A17" s="26">
        <v>45404</v>
      </c>
      <c r="B17" s="26"/>
      <c r="C17" s="13"/>
      <c r="D17" s="13" t="s">
        <v>795</v>
      </c>
      <c r="E17" s="24">
        <v>149718</v>
      </c>
      <c r="F17" s="24">
        <v>149718</v>
      </c>
      <c r="G17" s="24">
        <v>149718</v>
      </c>
      <c r="H17" s="13">
        <v>0</v>
      </c>
      <c r="I17" s="13">
        <v>0</v>
      </c>
      <c r="J17" s="13">
        <v>0</v>
      </c>
      <c r="K17" s="13">
        <v>1</v>
      </c>
      <c r="L17" s="13">
        <v>0</v>
      </c>
      <c r="M17" s="13" t="s">
        <v>796</v>
      </c>
      <c r="N17" s="13"/>
      <c r="O17" s="13" t="s">
        <v>797</v>
      </c>
      <c r="P17" s="13" t="s">
        <v>798</v>
      </c>
    </row>
    <row r="18" spans="1:16" ht="15.75" customHeight="1">
      <c r="A18" s="26">
        <v>43437</v>
      </c>
      <c r="B18" s="26">
        <v>43466</v>
      </c>
      <c r="C18" s="13"/>
      <c r="D18" s="13" t="s">
        <v>755</v>
      </c>
      <c r="E18" s="24">
        <v>16929</v>
      </c>
      <c r="F18" s="24">
        <v>16929</v>
      </c>
      <c r="G18" s="24">
        <v>16929</v>
      </c>
      <c r="H18" s="13">
        <v>1</v>
      </c>
      <c r="I18" s="13">
        <v>0</v>
      </c>
      <c r="J18" s="13">
        <v>0</v>
      </c>
      <c r="K18" s="13">
        <v>1</v>
      </c>
      <c r="L18" s="13">
        <v>0</v>
      </c>
      <c r="M18" s="13" t="s">
        <v>799</v>
      </c>
      <c r="N18" s="27" t="s">
        <v>800</v>
      </c>
      <c r="O18" s="13" t="s">
        <v>801</v>
      </c>
      <c r="P18" s="13"/>
    </row>
    <row r="19" spans="1:16" ht="15.75" customHeight="1">
      <c r="A19" s="26">
        <v>43466</v>
      </c>
      <c r="B19" s="26">
        <v>43606</v>
      </c>
      <c r="C19" s="13"/>
      <c r="D19" s="13" t="s">
        <v>802</v>
      </c>
      <c r="E19" s="24">
        <v>430000</v>
      </c>
      <c r="F19" s="24">
        <v>238150</v>
      </c>
      <c r="G19" s="24">
        <v>0</v>
      </c>
      <c r="H19" s="13">
        <v>1</v>
      </c>
      <c r="I19" s="13">
        <v>0</v>
      </c>
      <c r="J19" s="13">
        <v>1</v>
      </c>
      <c r="K19" s="13">
        <v>0</v>
      </c>
      <c r="L19" s="13">
        <v>1</v>
      </c>
      <c r="M19" s="13" t="s">
        <v>803</v>
      </c>
      <c r="N19" s="27" t="s">
        <v>804</v>
      </c>
      <c r="O19" s="13" t="s">
        <v>805</v>
      </c>
      <c r="P19" s="13" t="s">
        <v>806</v>
      </c>
    </row>
    <row r="20" spans="1:16" ht="15.75" customHeight="1">
      <c r="A20" s="26">
        <v>43800</v>
      </c>
      <c r="B20" s="26">
        <v>43922</v>
      </c>
      <c r="C20" s="13"/>
      <c r="D20" s="13" t="s">
        <v>807</v>
      </c>
      <c r="E20" s="24">
        <v>147000</v>
      </c>
      <c r="F20" s="24">
        <v>147000</v>
      </c>
      <c r="G20" s="24">
        <v>147000</v>
      </c>
      <c r="H20" s="13">
        <v>1</v>
      </c>
      <c r="I20" s="13">
        <v>1</v>
      </c>
      <c r="J20" s="13">
        <v>1</v>
      </c>
      <c r="K20" s="13">
        <v>0</v>
      </c>
      <c r="L20" s="13">
        <v>0</v>
      </c>
      <c r="M20" s="13" t="s">
        <v>808</v>
      </c>
      <c r="N20" s="13" t="s">
        <v>809</v>
      </c>
      <c r="O20" s="13" t="s">
        <v>810</v>
      </c>
      <c r="P20" s="13"/>
    </row>
    <row r="21" spans="1:16" ht="15.75" customHeight="1">
      <c r="A21" s="26">
        <v>44020</v>
      </c>
      <c r="B21" s="26">
        <v>44136</v>
      </c>
      <c r="C21" s="13"/>
      <c r="D21" s="13" t="s">
        <v>811</v>
      </c>
      <c r="E21" s="24">
        <v>88960</v>
      </c>
      <c r="F21" s="24">
        <v>88960</v>
      </c>
      <c r="G21" s="24">
        <v>88960</v>
      </c>
      <c r="H21" s="13">
        <v>1</v>
      </c>
      <c r="I21" s="13">
        <v>0</v>
      </c>
      <c r="J21" s="13">
        <v>1</v>
      </c>
      <c r="K21" s="13">
        <v>1</v>
      </c>
      <c r="L21" s="13">
        <v>0</v>
      </c>
      <c r="M21" s="13" t="s">
        <v>812</v>
      </c>
      <c r="N21" s="27" t="s">
        <v>813</v>
      </c>
      <c r="O21" s="13" t="s">
        <v>814</v>
      </c>
      <c r="P21" s="13" t="s">
        <v>815</v>
      </c>
    </row>
    <row r="22" spans="1:16" ht="15.75" customHeight="1">
      <c r="A22" s="26">
        <v>44168</v>
      </c>
      <c r="B22" s="26">
        <v>44197</v>
      </c>
      <c r="C22" s="13"/>
      <c r="D22" s="13" t="s">
        <v>811</v>
      </c>
      <c r="E22" s="24">
        <v>14210</v>
      </c>
      <c r="F22" s="24">
        <v>14210</v>
      </c>
      <c r="G22" s="24">
        <v>14210</v>
      </c>
      <c r="H22" s="13">
        <v>1</v>
      </c>
      <c r="I22" s="13">
        <v>0</v>
      </c>
      <c r="J22" s="13">
        <v>0</v>
      </c>
      <c r="K22" s="13">
        <v>1</v>
      </c>
      <c r="L22" s="13">
        <v>0</v>
      </c>
      <c r="M22" s="13" t="s">
        <v>799</v>
      </c>
      <c r="N22" s="27" t="s">
        <v>800</v>
      </c>
      <c r="O22" s="13" t="s">
        <v>816</v>
      </c>
      <c r="P22" s="13"/>
    </row>
    <row r="23" spans="1:16" ht="15.75" customHeight="1">
      <c r="A23" s="26">
        <v>44379</v>
      </c>
      <c r="B23" s="26">
        <v>44410</v>
      </c>
      <c r="C23" s="13"/>
      <c r="D23" s="13" t="s">
        <v>811</v>
      </c>
      <c r="E23" s="24">
        <v>24963</v>
      </c>
      <c r="F23" s="24">
        <v>24963</v>
      </c>
      <c r="G23" s="24">
        <v>24963</v>
      </c>
      <c r="H23" s="13">
        <v>1</v>
      </c>
      <c r="I23" s="13">
        <v>0</v>
      </c>
      <c r="J23" s="13">
        <v>1</v>
      </c>
      <c r="K23" s="13">
        <v>1</v>
      </c>
      <c r="L23" s="13">
        <v>0</v>
      </c>
      <c r="M23" s="13" t="s">
        <v>803</v>
      </c>
      <c r="N23" s="27" t="s">
        <v>804</v>
      </c>
      <c r="O23" s="13" t="s">
        <v>817</v>
      </c>
      <c r="P23" s="13" t="s">
        <v>818</v>
      </c>
    </row>
    <row r="24" spans="1:16" ht="15.75" customHeight="1">
      <c r="A24" s="26">
        <v>44417</v>
      </c>
      <c r="B24" s="26">
        <v>44440</v>
      </c>
      <c r="C24" s="13"/>
      <c r="D24" s="13" t="s">
        <v>819</v>
      </c>
      <c r="E24" s="24">
        <v>31268</v>
      </c>
      <c r="F24" s="24">
        <v>31268</v>
      </c>
      <c r="G24" s="24">
        <v>31268</v>
      </c>
      <c r="H24" s="13">
        <v>1</v>
      </c>
      <c r="I24" s="13">
        <v>0</v>
      </c>
      <c r="J24" s="13">
        <v>1</v>
      </c>
      <c r="K24" s="13">
        <v>1</v>
      </c>
      <c r="L24" s="13">
        <v>0</v>
      </c>
      <c r="M24" s="13" t="s">
        <v>820</v>
      </c>
      <c r="N24" s="27" t="s">
        <v>821</v>
      </c>
      <c r="O24" s="13" t="s">
        <v>822</v>
      </c>
      <c r="P24" s="13" t="s">
        <v>510</v>
      </c>
    </row>
    <row r="25" spans="1:16" ht="15.75" customHeight="1">
      <c r="A25" s="26">
        <v>44658</v>
      </c>
      <c r="B25" s="26">
        <v>44562</v>
      </c>
      <c r="C25" s="13"/>
      <c r="D25" s="13" t="s">
        <v>823</v>
      </c>
      <c r="E25" s="24">
        <v>109743</v>
      </c>
      <c r="F25" s="24">
        <v>109743</v>
      </c>
      <c r="G25" s="24">
        <v>109743</v>
      </c>
      <c r="H25" s="13">
        <v>1</v>
      </c>
      <c r="I25" s="13">
        <v>0</v>
      </c>
      <c r="J25" s="13">
        <v>1</v>
      </c>
      <c r="K25" s="13">
        <v>1</v>
      </c>
      <c r="L25" s="13">
        <v>0</v>
      </c>
      <c r="M25" s="13" t="s">
        <v>824</v>
      </c>
      <c r="N25" s="13"/>
      <c r="O25" s="13" t="s">
        <v>825</v>
      </c>
      <c r="P25" s="13"/>
    </row>
    <row r="26" spans="1:16" ht="15.75" customHeight="1">
      <c r="A26" s="26">
        <v>44874</v>
      </c>
      <c r="B26" s="26">
        <v>45107</v>
      </c>
      <c r="C26" s="13"/>
      <c r="D26" s="13" t="s">
        <v>826</v>
      </c>
      <c r="E26" s="24">
        <v>474517</v>
      </c>
      <c r="F26" s="24">
        <v>276838</v>
      </c>
      <c r="G26" s="24">
        <v>474517</v>
      </c>
      <c r="H26" s="13">
        <v>1</v>
      </c>
      <c r="I26" s="13">
        <v>0</v>
      </c>
      <c r="J26" s="13">
        <v>1</v>
      </c>
      <c r="K26" s="13">
        <v>1</v>
      </c>
      <c r="L26" s="13">
        <v>0</v>
      </c>
      <c r="M26" s="13" t="s">
        <v>827</v>
      </c>
      <c r="N26" s="27" t="s">
        <v>828</v>
      </c>
      <c r="O26" s="13" t="s">
        <v>829</v>
      </c>
      <c r="P26" s="13" t="s">
        <v>830</v>
      </c>
    </row>
    <row r="27" spans="1:16" ht="15.75" customHeight="1">
      <c r="A27" s="26">
        <v>45042</v>
      </c>
      <c r="B27" s="26">
        <v>45107</v>
      </c>
      <c r="C27" s="13"/>
      <c r="D27" s="13" t="s">
        <v>831</v>
      </c>
      <c r="E27" s="24">
        <v>516677</v>
      </c>
      <c r="F27" s="24">
        <v>282571</v>
      </c>
      <c r="G27" s="24">
        <v>516677</v>
      </c>
      <c r="H27" s="13">
        <v>1</v>
      </c>
      <c r="I27" s="13">
        <v>0</v>
      </c>
      <c r="J27" s="13">
        <v>1</v>
      </c>
      <c r="K27" s="13">
        <v>1</v>
      </c>
      <c r="L27" s="13">
        <v>0</v>
      </c>
      <c r="M27" s="13" t="s">
        <v>820</v>
      </c>
      <c r="N27" s="27" t="s">
        <v>832</v>
      </c>
      <c r="O27" s="13" t="s">
        <v>833</v>
      </c>
      <c r="P27" s="13" t="s">
        <v>834</v>
      </c>
    </row>
    <row r="28" spans="1:16" ht="15.75" customHeight="1">
      <c r="A28" s="26">
        <v>45348</v>
      </c>
      <c r="B28" s="26">
        <v>45384</v>
      </c>
      <c r="C28" s="13"/>
      <c r="D28" s="13" t="s">
        <v>835</v>
      </c>
      <c r="E28" s="24">
        <v>1500</v>
      </c>
      <c r="F28" s="24">
        <v>1500</v>
      </c>
      <c r="G28" s="24">
        <v>1500</v>
      </c>
      <c r="H28" s="13">
        <v>1</v>
      </c>
      <c r="I28" s="13">
        <v>0</v>
      </c>
      <c r="J28" s="13">
        <v>0</v>
      </c>
      <c r="K28" s="13">
        <v>1</v>
      </c>
      <c r="L28" s="13">
        <v>0</v>
      </c>
      <c r="M28" s="13" t="s">
        <v>836</v>
      </c>
      <c r="N28" s="27" t="s">
        <v>837</v>
      </c>
      <c r="O28" s="13" t="s">
        <v>838</v>
      </c>
      <c r="P28" s="13"/>
    </row>
  </sheetData>
  <hyperlinks>
    <hyperlink ref="N12" r:id="rId1" xr:uid="{00000000-0004-0000-0300-000000000000}"/>
    <hyperlink ref="N13" r:id="rId2" xr:uid="{00000000-0004-0000-0300-000001000000}"/>
    <hyperlink ref="N18" r:id="rId3" xr:uid="{00000000-0004-0000-0300-000002000000}"/>
    <hyperlink ref="N19" r:id="rId4" xr:uid="{00000000-0004-0000-0300-000003000000}"/>
    <hyperlink ref="N21" r:id="rId5" xr:uid="{00000000-0004-0000-0300-000004000000}"/>
    <hyperlink ref="N22" r:id="rId6" xr:uid="{00000000-0004-0000-0300-000005000000}"/>
    <hyperlink ref="N23" r:id="rId7" xr:uid="{00000000-0004-0000-0300-000006000000}"/>
    <hyperlink ref="N24" r:id="rId8" xr:uid="{00000000-0004-0000-0300-000007000000}"/>
    <hyperlink ref="N26" r:id="rId9" xr:uid="{00000000-0004-0000-0300-000008000000}"/>
    <hyperlink ref="N27" r:id="rId10" xr:uid="{00000000-0004-0000-0300-000009000000}"/>
    <hyperlink ref="N28"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9"/>
  <sheetViews>
    <sheetView workbookViewId="0"/>
  </sheetViews>
  <sheetFormatPr defaultColWidth="12.6328125" defaultRowHeight="15.75" customHeight="1"/>
  <sheetData>
    <row r="1" spans="1:26" ht="15.75" customHeight="1">
      <c r="A1" s="13"/>
      <c r="B1" s="24" t="s">
        <v>751</v>
      </c>
      <c r="C1" s="24" t="s">
        <v>839</v>
      </c>
      <c r="D1" s="13" t="s">
        <v>840</v>
      </c>
      <c r="E1" s="13" t="s">
        <v>841</v>
      </c>
      <c r="F1" s="13" t="s">
        <v>842</v>
      </c>
      <c r="G1" s="13"/>
      <c r="H1" s="13"/>
      <c r="I1" s="13"/>
      <c r="J1" s="13"/>
      <c r="K1" s="13"/>
      <c r="L1" s="13"/>
      <c r="M1" s="13"/>
      <c r="N1" s="13"/>
      <c r="O1" s="13"/>
      <c r="P1" s="13"/>
      <c r="Q1" s="13"/>
      <c r="R1" s="13"/>
      <c r="S1" s="13"/>
      <c r="T1" s="13"/>
      <c r="U1" s="13"/>
      <c r="V1" s="13"/>
      <c r="W1" s="13"/>
      <c r="X1" s="13"/>
      <c r="Y1" s="13"/>
      <c r="Z1" s="13"/>
    </row>
    <row r="2" spans="1:26" ht="15.75" customHeight="1">
      <c r="A2" s="13" t="s">
        <v>748</v>
      </c>
      <c r="B2" s="24">
        <f>SUMIFS(grants!E:E,grants!K:K, 1,grants!J:J, 1,grants!H:H, 1)</f>
        <v>1246128</v>
      </c>
      <c r="C2" s="24">
        <f>SUMIFS(grants!E:E,grants!L:L, 1,grants!J:J, 1,grants!H:H, 1)</f>
        <v>430000</v>
      </c>
      <c r="D2" s="24">
        <f t="shared" ref="D2:D3" si="0">SUM(B2:C2)</f>
        <v>1676128</v>
      </c>
      <c r="E2" s="28">
        <f>D2/D4</f>
        <v>0.21277831715867684</v>
      </c>
      <c r="F2" s="28">
        <f>1-E2</f>
        <v>0.78722168284132321</v>
      </c>
      <c r="G2" s="13"/>
      <c r="H2" s="13"/>
      <c r="I2" s="13"/>
      <c r="J2" s="13"/>
      <c r="K2" s="13"/>
      <c r="L2" s="13"/>
      <c r="M2" s="13"/>
      <c r="N2" s="13"/>
      <c r="O2" s="13"/>
      <c r="P2" s="13"/>
      <c r="Q2" s="13"/>
      <c r="R2" s="13"/>
      <c r="S2" s="13"/>
      <c r="T2" s="13"/>
      <c r="U2" s="13"/>
      <c r="V2" s="13"/>
      <c r="W2" s="13"/>
      <c r="X2" s="13"/>
      <c r="Y2" s="13"/>
      <c r="Z2" s="13"/>
    </row>
    <row r="3" spans="1:26" ht="15.75" customHeight="1">
      <c r="A3" s="13" t="s">
        <v>843</v>
      </c>
      <c r="B3" s="24">
        <f>SUMIFS(grants!E:E,grants!K:K, 1,grants!J:J, 1, grants!H:H, 0)</f>
        <v>5761406</v>
      </c>
      <c r="C3" s="24">
        <f>SUMIFS(grants!E:E,grants!L:L, 1,grants!J:J, 1,grants!H:H, 0)</f>
        <v>439810</v>
      </c>
      <c r="D3" s="24">
        <f t="shared" si="0"/>
        <v>6201216</v>
      </c>
      <c r="E3" s="13"/>
      <c r="F3" s="13"/>
      <c r="G3" s="13"/>
      <c r="H3" s="13"/>
      <c r="I3" s="13"/>
      <c r="J3" s="13"/>
      <c r="K3" s="13"/>
      <c r="L3" s="13"/>
      <c r="M3" s="13"/>
      <c r="N3" s="13"/>
      <c r="O3" s="13"/>
      <c r="P3" s="13"/>
      <c r="Q3" s="13"/>
      <c r="R3" s="13"/>
      <c r="S3" s="13"/>
      <c r="T3" s="13"/>
      <c r="U3" s="13"/>
      <c r="V3" s="13"/>
      <c r="W3" s="13"/>
      <c r="X3" s="13"/>
      <c r="Y3" s="13"/>
      <c r="Z3" s="13"/>
    </row>
    <row r="4" spans="1:26" ht="15.75" customHeight="1">
      <c r="A4" s="13" t="s">
        <v>840</v>
      </c>
      <c r="B4" s="24">
        <f t="shared" ref="B4:D4" si="1">SUM(B2:B3)</f>
        <v>7007534</v>
      </c>
      <c r="C4" s="24">
        <f t="shared" si="1"/>
        <v>869810</v>
      </c>
      <c r="D4" s="24">
        <f t="shared" si="1"/>
        <v>7877344</v>
      </c>
      <c r="E4" s="13"/>
      <c r="F4" s="13"/>
      <c r="G4" s="13"/>
      <c r="H4" s="13"/>
      <c r="I4" s="13"/>
      <c r="J4" s="13"/>
      <c r="K4" s="13"/>
      <c r="L4" s="13"/>
      <c r="M4" s="13"/>
      <c r="N4" s="13"/>
      <c r="O4" s="13"/>
      <c r="P4" s="13"/>
      <c r="Q4" s="13"/>
      <c r="R4" s="13"/>
      <c r="S4" s="13"/>
      <c r="T4" s="13"/>
      <c r="U4" s="13"/>
      <c r="V4" s="13"/>
      <c r="W4" s="13"/>
      <c r="X4" s="13"/>
      <c r="Y4" s="13"/>
      <c r="Z4" s="13"/>
    </row>
    <row r="5" spans="1:26" ht="15.75" customHeight="1">
      <c r="A5" s="13"/>
      <c r="B5" s="24"/>
      <c r="C5" s="24"/>
      <c r="D5" s="13"/>
      <c r="E5" s="13"/>
      <c r="F5" s="13"/>
      <c r="G5" s="13"/>
      <c r="H5" s="13"/>
      <c r="I5" s="13"/>
      <c r="J5" s="13"/>
      <c r="K5" s="13"/>
      <c r="L5" s="13"/>
      <c r="M5" s="13"/>
      <c r="N5" s="13"/>
      <c r="O5" s="13"/>
      <c r="P5" s="13"/>
      <c r="Q5" s="13"/>
      <c r="R5" s="13"/>
      <c r="S5" s="13"/>
      <c r="T5" s="13"/>
      <c r="U5" s="13"/>
      <c r="V5" s="13"/>
      <c r="W5" s="13"/>
      <c r="X5" s="13"/>
      <c r="Y5" s="13"/>
      <c r="Z5" s="13"/>
    </row>
    <row r="6" spans="1:26" ht="15.75" customHeight="1">
      <c r="A6" s="13"/>
      <c r="B6" s="24"/>
      <c r="C6" s="24"/>
      <c r="D6" s="13"/>
      <c r="E6" s="13"/>
      <c r="F6" s="13"/>
      <c r="G6" s="13"/>
      <c r="H6" s="13"/>
      <c r="I6" s="13"/>
      <c r="J6" s="13"/>
      <c r="K6" s="13"/>
      <c r="L6" s="13"/>
      <c r="M6" s="13"/>
      <c r="N6" s="13"/>
      <c r="O6" s="13"/>
      <c r="P6" s="13"/>
      <c r="Q6" s="13"/>
      <c r="R6" s="13"/>
      <c r="S6" s="13"/>
      <c r="T6" s="13"/>
      <c r="U6" s="13"/>
      <c r="V6" s="13"/>
      <c r="W6" s="13"/>
      <c r="X6" s="13"/>
      <c r="Y6" s="13"/>
      <c r="Z6" s="13"/>
    </row>
    <row r="7" spans="1:26" ht="15.75" customHeight="1">
      <c r="A7" s="13"/>
      <c r="B7" s="24"/>
      <c r="C7" s="24"/>
      <c r="D7" s="13"/>
      <c r="E7" s="13"/>
      <c r="F7" s="13"/>
      <c r="G7" s="13"/>
      <c r="H7" s="13"/>
      <c r="I7" s="13"/>
      <c r="J7" s="13"/>
      <c r="K7" s="13"/>
      <c r="L7" s="13"/>
      <c r="M7" s="13"/>
      <c r="N7" s="13"/>
      <c r="O7" s="13"/>
      <c r="P7" s="13"/>
      <c r="Q7" s="13"/>
      <c r="R7" s="13"/>
      <c r="S7" s="13"/>
      <c r="T7" s="13"/>
      <c r="U7" s="13"/>
      <c r="V7" s="13"/>
      <c r="W7" s="13"/>
      <c r="X7" s="13"/>
      <c r="Y7" s="13"/>
      <c r="Z7" s="13"/>
    </row>
    <row r="8" spans="1:26" ht="15.75" customHeight="1">
      <c r="A8" s="13"/>
      <c r="B8" s="24"/>
      <c r="C8" s="24"/>
      <c r="D8" s="13"/>
      <c r="E8" s="13"/>
      <c r="F8" s="13"/>
      <c r="G8" s="13"/>
      <c r="H8" s="13"/>
      <c r="I8" s="13"/>
      <c r="J8" s="13"/>
      <c r="K8" s="13"/>
      <c r="L8" s="13"/>
      <c r="M8" s="13"/>
      <c r="N8" s="13"/>
      <c r="O8" s="13"/>
      <c r="P8" s="13"/>
      <c r="Q8" s="13"/>
      <c r="R8" s="13"/>
      <c r="S8" s="13"/>
      <c r="T8" s="13"/>
      <c r="U8" s="13"/>
      <c r="V8" s="13"/>
      <c r="W8" s="13"/>
      <c r="X8" s="13"/>
      <c r="Y8" s="13"/>
      <c r="Z8" s="13"/>
    </row>
    <row r="9" spans="1:26" ht="15.75" customHeight="1">
      <c r="A9" s="13"/>
      <c r="B9" s="24"/>
      <c r="C9" s="24"/>
      <c r="D9" s="13"/>
      <c r="E9" s="13"/>
      <c r="F9" s="13"/>
      <c r="G9" s="13"/>
      <c r="H9" s="13"/>
      <c r="I9" s="13"/>
      <c r="J9" s="13"/>
      <c r="K9" s="13"/>
      <c r="L9" s="13"/>
      <c r="M9" s="13"/>
      <c r="N9" s="13"/>
      <c r="O9" s="13"/>
      <c r="P9" s="13"/>
      <c r="Q9" s="13"/>
      <c r="R9" s="13"/>
      <c r="S9" s="13"/>
      <c r="T9" s="13"/>
      <c r="U9" s="13"/>
      <c r="V9" s="13"/>
      <c r="W9" s="13"/>
      <c r="X9" s="13"/>
      <c r="Y9" s="13"/>
      <c r="Z9" s="13"/>
    </row>
    <row r="10" spans="1:26" ht="15.75" customHeight="1">
      <c r="A10" s="13"/>
      <c r="B10" s="24"/>
      <c r="C10" s="24"/>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13"/>
      <c r="B11" s="24"/>
      <c r="C11" s="24"/>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c r="A12" s="13"/>
      <c r="B12" s="24"/>
      <c r="C12" s="24"/>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c r="A13" s="13"/>
      <c r="B13" s="24"/>
      <c r="C13" s="24"/>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c r="A14" s="13"/>
      <c r="B14" s="24"/>
      <c r="C14" s="24"/>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c r="A15" s="13"/>
      <c r="B15" s="24"/>
      <c r="C15" s="24"/>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c r="A16" s="13"/>
      <c r="B16" s="24"/>
      <c r="C16" s="24"/>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c r="A17" s="13"/>
      <c r="B17" s="24"/>
      <c r="C17" s="24"/>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c r="A18" s="13"/>
      <c r="B18" s="24"/>
      <c r="C18" s="24"/>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c r="A19" s="13"/>
      <c r="B19" s="24"/>
      <c r="C19" s="24"/>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c r="A20" s="13"/>
      <c r="B20" s="24"/>
      <c r="C20" s="24"/>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3"/>
      <c r="B21" s="24"/>
      <c r="C21" s="24"/>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3"/>
      <c r="B22" s="24"/>
      <c r="C22" s="24"/>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3"/>
      <c r="B23" s="24"/>
      <c r="C23" s="24"/>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3"/>
      <c r="B24" s="24"/>
      <c r="C24" s="24"/>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3"/>
      <c r="B25" s="24"/>
      <c r="C25" s="24"/>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3"/>
      <c r="B26" s="24"/>
      <c r="C26" s="24"/>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c r="B27" s="24"/>
      <c r="C27" s="24"/>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c r="B28" s="24"/>
      <c r="C28" s="24"/>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24"/>
      <c r="C29" s="24"/>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24"/>
      <c r="C30" s="24"/>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c r="B31" s="24"/>
      <c r="C31" s="24"/>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24"/>
      <c r="C32" s="24"/>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 r="A33" s="13"/>
      <c r="B33" s="24"/>
      <c r="C33" s="24"/>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 r="A34" s="13"/>
      <c r="B34" s="24"/>
      <c r="C34" s="24"/>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 r="A35" s="13"/>
      <c r="B35" s="24"/>
      <c r="C35" s="24"/>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 r="A36" s="13"/>
      <c r="B36" s="24"/>
      <c r="C36" s="24"/>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 r="A37" s="13"/>
      <c r="B37" s="24"/>
      <c r="C37" s="24"/>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 r="A38" s="13"/>
      <c r="B38" s="24"/>
      <c r="C38" s="24"/>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 r="A39" s="13"/>
      <c r="B39" s="24"/>
      <c r="C39" s="24"/>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 r="A40" s="13"/>
      <c r="B40" s="24"/>
      <c r="C40" s="24"/>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 r="A41" s="13"/>
      <c r="B41" s="24"/>
      <c r="C41" s="24"/>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 r="A42" s="13"/>
      <c r="B42" s="24"/>
      <c r="C42" s="24"/>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 r="A43" s="13"/>
      <c r="B43" s="24"/>
      <c r="C43" s="24"/>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 r="A44" s="13"/>
      <c r="B44" s="24"/>
      <c r="C44" s="24"/>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 r="A45" s="13"/>
      <c r="B45" s="24"/>
      <c r="C45" s="24"/>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 r="A46" s="13"/>
      <c r="B46" s="24"/>
      <c r="C46" s="24"/>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 r="A47" s="13"/>
      <c r="B47" s="24"/>
      <c r="C47" s="24"/>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 r="A48" s="13"/>
      <c r="B48" s="24"/>
      <c r="C48" s="24"/>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 r="A49" s="13"/>
      <c r="B49" s="24"/>
      <c r="C49" s="24"/>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 r="A50" s="13"/>
      <c r="B50" s="24"/>
      <c r="C50" s="24"/>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 r="A51" s="13"/>
      <c r="B51" s="24"/>
      <c r="C51" s="24"/>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 r="A52" s="13"/>
      <c r="B52" s="24"/>
      <c r="C52" s="24"/>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 r="A53" s="13"/>
      <c r="B53" s="24"/>
      <c r="C53" s="24"/>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 r="A54" s="13"/>
      <c r="B54" s="24"/>
      <c r="C54" s="24"/>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 r="A55" s="13"/>
      <c r="B55" s="24"/>
      <c r="C55" s="24"/>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 r="A56" s="13"/>
      <c r="B56" s="24"/>
      <c r="C56" s="24"/>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 r="A57" s="13"/>
      <c r="B57" s="24"/>
      <c r="C57" s="24"/>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 r="A58" s="13"/>
      <c r="B58" s="24"/>
      <c r="C58" s="24"/>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 r="A59" s="13"/>
      <c r="B59" s="24"/>
      <c r="C59" s="24"/>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 r="A60" s="13"/>
      <c r="B60" s="24"/>
      <c r="C60" s="24"/>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 r="A61" s="13"/>
      <c r="B61" s="24"/>
      <c r="C61" s="24"/>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 r="A62" s="13"/>
      <c r="B62" s="24"/>
      <c r="C62" s="24"/>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 r="A63" s="13"/>
      <c r="B63" s="24"/>
      <c r="C63" s="24"/>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 r="A64" s="13"/>
      <c r="B64" s="24"/>
      <c r="C64" s="24"/>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 r="A65" s="13"/>
      <c r="B65" s="24"/>
      <c r="C65" s="24"/>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 r="A66" s="13"/>
      <c r="B66" s="24"/>
      <c r="C66" s="24"/>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 r="A67" s="13"/>
      <c r="B67" s="24"/>
      <c r="C67" s="24"/>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 r="A68" s="13"/>
      <c r="B68" s="24"/>
      <c r="C68" s="24"/>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 r="A69" s="13"/>
      <c r="B69" s="24"/>
      <c r="C69" s="24"/>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 r="A70" s="13"/>
      <c r="B70" s="24"/>
      <c r="C70" s="24"/>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 r="A71" s="13"/>
      <c r="B71" s="24"/>
      <c r="C71" s="24"/>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 r="A72" s="13"/>
      <c r="B72" s="24"/>
      <c r="C72" s="24"/>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 r="A73" s="13"/>
      <c r="B73" s="24"/>
      <c r="C73" s="24"/>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 r="A74" s="13"/>
      <c r="B74" s="24"/>
      <c r="C74" s="24"/>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 r="A75" s="13"/>
      <c r="B75" s="24"/>
      <c r="C75" s="24"/>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 r="A76" s="13"/>
      <c r="B76" s="24"/>
      <c r="C76" s="24"/>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 r="A77" s="13"/>
      <c r="B77" s="24"/>
      <c r="C77" s="24"/>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 r="A78" s="13"/>
      <c r="B78" s="24"/>
      <c r="C78" s="24"/>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 r="A79" s="13"/>
      <c r="B79" s="24"/>
      <c r="C79" s="24"/>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 r="A80" s="13"/>
      <c r="B80" s="24"/>
      <c r="C80" s="24"/>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 r="A81" s="13"/>
      <c r="B81" s="24"/>
      <c r="C81" s="24"/>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 r="A82" s="13"/>
      <c r="B82" s="24"/>
      <c r="C82" s="24"/>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 r="A83" s="13"/>
      <c r="B83" s="24"/>
      <c r="C83" s="24"/>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 r="A84" s="13"/>
      <c r="B84" s="24"/>
      <c r="C84" s="24"/>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 r="A85" s="13"/>
      <c r="B85" s="24"/>
      <c r="C85" s="24"/>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 r="A86" s="13"/>
      <c r="B86" s="24"/>
      <c r="C86" s="24"/>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 r="A87" s="13"/>
      <c r="B87" s="24"/>
      <c r="C87" s="24"/>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 r="A88" s="13"/>
      <c r="B88" s="24"/>
      <c r="C88" s="24"/>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 r="A89" s="13"/>
      <c r="B89" s="24"/>
      <c r="C89" s="24"/>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 r="A90" s="13"/>
      <c r="B90" s="24"/>
      <c r="C90" s="24"/>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 r="A91" s="13"/>
      <c r="B91" s="24"/>
      <c r="C91" s="24"/>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 r="A92" s="13"/>
      <c r="B92" s="24"/>
      <c r="C92" s="24"/>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 r="A93" s="13"/>
      <c r="B93" s="24"/>
      <c r="C93" s="24"/>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 r="A94" s="13"/>
      <c r="B94" s="24"/>
      <c r="C94" s="24"/>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 r="A95" s="13"/>
      <c r="B95" s="24"/>
      <c r="C95" s="24"/>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 r="A96" s="13"/>
      <c r="B96" s="24"/>
      <c r="C96" s="24"/>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 r="A97" s="13"/>
      <c r="B97" s="24"/>
      <c r="C97" s="24"/>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 r="A98" s="13"/>
      <c r="B98" s="24"/>
      <c r="C98" s="24"/>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 r="A99" s="13"/>
      <c r="B99" s="24"/>
      <c r="C99" s="24"/>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 r="A100" s="13"/>
      <c r="B100" s="24"/>
      <c r="C100" s="24"/>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 r="A101" s="13"/>
      <c r="B101" s="24"/>
      <c r="C101" s="24"/>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 r="A102" s="13"/>
      <c r="B102" s="24"/>
      <c r="C102" s="24"/>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 r="A103" s="13"/>
      <c r="B103" s="24"/>
      <c r="C103" s="24"/>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 r="A104" s="13"/>
      <c r="B104" s="24"/>
      <c r="C104" s="24"/>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 r="A105" s="13"/>
      <c r="B105" s="24"/>
      <c r="C105" s="24"/>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 r="A106" s="13"/>
      <c r="B106" s="24"/>
      <c r="C106" s="24"/>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 r="A107" s="13"/>
      <c r="B107" s="24"/>
      <c r="C107" s="24"/>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 r="A108" s="13"/>
      <c r="B108" s="24"/>
      <c r="C108" s="24"/>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 r="A109" s="13"/>
      <c r="B109" s="24"/>
      <c r="C109" s="24"/>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 r="A110" s="13"/>
      <c r="B110" s="24"/>
      <c r="C110" s="24"/>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 r="A111" s="13"/>
      <c r="B111" s="24"/>
      <c r="C111" s="24"/>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 r="A112" s="13"/>
      <c r="B112" s="24"/>
      <c r="C112" s="24"/>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 r="A113" s="13"/>
      <c r="B113" s="24"/>
      <c r="C113" s="24"/>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 r="A114" s="13"/>
      <c r="B114" s="24"/>
      <c r="C114" s="24"/>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 r="A115" s="13"/>
      <c r="B115" s="24"/>
      <c r="C115" s="24"/>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 r="A116" s="13"/>
      <c r="B116" s="24"/>
      <c r="C116" s="24"/>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 r="A117" s="13"/>
      <c r="B117" s="24"/>
      <c r="C117" s="24"/>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 r="A118" s="13"/>
      <c r="B118" s="24"/>
      <c r="C118" s="24"/>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 r="A119" s="13"/>
      <c r="B119" s="24"/>
      <c r="C119" s="24"/>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 r="A120" s="13"/>
      <c r="B120" s="24"/>
      <c r="C120" s="24"/>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 r="A121" s="13"/>
      <c r="B121" s="24"/>
      <c r="C121" s="24"/>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 r="A122" s="13"/>
      <c r="B122" s="24"/>
      <c r="C122" s="24"/>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 r="A123" s="13"/>
      <c r="B123" s="24"/>
      <c r="C123" s="24"/>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 r="A124" s="13"/>
      <c r="B124" s="24"/>
      <c r="C124" s="24"/>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 r="A125" s="13"/>
      <c r="B125" s="24"/>
      <c r="C125" s="24"/>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 r="A126" s="13"/>
      <c r="B126" s="24"/>
      <c r="C126" s="24"/>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 r="A127" s="13"/>
      <c r="B127" s="24"/>
      <c r="C127" s="24"/>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 r="A128" s="13"/>
      <c r="B128" s="24"/>
      <c r="C128" s="24"/>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 r="A129" s="13"/>
      <c r="B129" s="24"/>
      <c r="C129" s="24"/>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 r="A130" s="13"/>
      <c r="B130" s="24"/>
      <c r="C130" s="24"/>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 r="A131" s="13"/>
      <c r="B131" s="24"/>
      <c r="C131" s="24"/>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 r="A132" s="13"/>
      <c r="B132" s="24"/>
      <c r="C132" s="24"/>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 r="A133" s="13"/>
      <c r="B133" s="24"/>
      <c r="C133" s="24"/>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 r="A134" s="13"/>
      <c r="B134" s="24"/>
      <c r="C134" s="24"/>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 r="A135" s="13"/>
      <c r="B135" s="24"/>
      <c r="C135" s="24"/>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 r="A136" s="13"/>
      <c r="B136" s="24"/>
      <c r="C136" s="24"/>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 r="A137" s="13"/>
      <c r="B137" s="24"/>
      <c r="C137" s="24"/>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 r="A138" s="13"/>
      <c r="B138" s="24"/>
      <c r="C138" s="24"/>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 r="A139" s="13"/>
      <c r="B139" s="24"/>
      <c r="C139" s="24"/>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 r="A140" s="13"/>
      <c r="B140" s="24"/>
      <c r="C140" s="24"/>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 r="A141" s="13"/>
      <c r="B141" s="24"/>
      <c r="C141" s="24"/>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 r="A142" s="13"/>
      <c r="B142" s="24"/>
      <c r="C142" s="24"/>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 r="A143" s="13"/>
      <c r="B143" s="24"/>
      <c r="C143" s="24"/>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 r="A144" s="13"/>
      <c r="B144" s="24"/>
      <c r="C144" s="24"/>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 r="A145" s="13"/>
      <c r="B145" s="24"/>
      <c r="C145" s="24"/>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 r="A146" s="13"/>
      <c r="B146" s="24"/>
      <c r="C146" s="24"/>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 r="A147" s="13"/>
      <c r="B147" s="24"/>
      <c r="C147" s="24"/>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 r="A148" s="13"/>
      <c r="B148" s="24"/>
      <c r="C148" s="24"/>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 r="A149" s="13"/>
      <c r="B149" s="24"/>
      <c r="C149" s="24"/>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 r="A150" s="13"/>
      <c r="B150" s="24"/>
      <c r="C150" s="24"/>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 r="A151" s="13"/>
      <c r="B151" s="24"/>
      <c r="C151" s="24"/>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 r="A152" s="13"/>
      <c r="B152" s="24"/>
      <c r="C152" s="24"/>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 r="A153" s="13"/>
      <c r="B153" s="24"/>
      <c r="C153" s="24"/>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 r="A154" s="13"/>
      <c r="B154" s="24"/>
      <c r="C154" s="24"/>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 r="A155" s="13"/>
      <c r="B155" s="24"/>
      <c r="C155" s="24"/>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 r="A156" s="13"/>
      <c r="B156" s="24"/>
      <c r="C156" s="24"/>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 r="A157" s="13"/>
      <c r="B157" s="24"/>
      <c r="C157" s="24"/>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 r="A158" s="13"/>
      <c r="B158" s="24"/>
      <c r="C158" s="24"/>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 r="A159" s="13"/>
      <c r="B159" s="24"/>
      <c r="C159" s="24"/>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 r="A160" s="13"/>
      <c r="B160" s="24"/>
      <c r="C160" s="24"/>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 r="A161" s="13"/>
      <c r="B161" s="24"/>
      <c r="C161" s="24"/>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 r="A162" s="13"/>
      <c r="B162" s="24"/>
      <c r="C162" s="24"/>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 r="A163" s="13"/>
      <c r="B163" s="24"/>
      <c r="C163" s="24"/>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 r="A164" s="13"/>
      <c r="B164" s="24"/>
      <c r="C164" s="24"/>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 r="A165" s="13"/>
      <c r="B165" s="24"/>
      <c r="C165" s="24"/>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 r="A166" s="13"/>
      <c r="B166" s="24"/>
      <c r="C166" s="24"/>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 r="A167" s="13"/>
      <c r="B167" s="24"/>
      <c r="C167" s="24"/>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 r="A168" s="13"/>
      <c r="B168" s="24"/>
      <c r="C168" s="24"/>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 r="A169" s="13"/>
      <c r="B169" s="24"/>
      <c r="C169" s="24"/>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 r="A170" s="13"/>
      <c r="B170" s="24"/>
      <c r="C170" s="24"/>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 r="A171" s="13"/>
      <c r="B171" s="24"/>
      <c r="C171" s="24"/>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 r="A172" s="13"/>
      <c r="B172" s="24"/>
      <c r="C172" s="24"/>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 r="A173" s="13"/>
      <c r="B173" s="24"/>
      <c r="C173" s="24"/>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 r="A174" s="13"/>
      <c r="B174" s="24"/>
      <c r="C174" s="24"/>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 r="A175" s="13"/>
      <c r="B175" s="24"/>
      <c r="C175" s="24"/>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 r="A176" s="13"/>
      <c r="B176" s="24"/>
      <c r="C176" s="24"/>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 r="A177" s="13"/>
      <c r="B177" s="24"/>
      <c r="C177" s="24"/>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 r="A178" s="13"/>
      <c r="B178" s="24"/>
      <c r="C178" s="24"/>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 r="A179" s="13"/>
      <c r="B179" s="24"/>
      <c r="C179" s="24"/>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 r="A180" s="13"/>
      <c r="B180" s="24"/>
      <c r="C180" s="24"/>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 r="A181" s="13"/>
      <c r="B181" s="24"/>
      <c r="C181" s="24"/>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 r="A182" s="13"/>
      <c r="B182" s="24"/>
      <c r="C182" s="24"/>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 r="A183" s="13"/>
      <c r="B183" s="24"/>
      <c r="C183" s="24"/>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 r="A184" s="13"/>
      <c r="B184" s="24"/>
      <c r="C184" s="24"/>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 r="A185" s="13"/>
      <c r="B185" s="24"/>
      <c r="C185" s="24"/>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 r="A186" s="13"/>
      <c r="B186" s="24"/>
      <c r="C186" s="24"/>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 r="A187" s="13"/>
      <c r="B187" s="24"/>
      <c r="C187" s="24"/>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 r="A188" s="13"/>
      <c r="B188" s="24"/>
      <c r="C188" s="24"/>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 r="A189" s="13"/>
      <c r="B189" s="24"/>
      <c r="C189" s="24"/>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 r="A190" s="13"/>
      <c r="B190" s="24"/>
      <c r="C190" s="24"/>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 r="A191" s="13"/>
      <c r="B191" s="24"/>
      <c r="C191" s="24"/>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 r="A192" s="13"/>
      <c r="B192" s="24"/>
      <c r="C192" s="24"/>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 r="A193" s="13"/>
      <c r="B193" s="24"/>
      <c r="C193" s="24"/>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 r="A194" s="13"/>
      <c r="B194" s="24"/>
      <c r="C194" s="24"/>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 r="A195" s="13"/>
      <c r="B195" s="24"/>
      <c r="C195" s="24"/>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 r="A196" s="13"/>
      <c r="B196" s="24"/>
      <c r="C196" s="24"/>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 r="A197" s="13"/>
      <c r="B197" s="24"/>
      <c r="C197" s="24"/>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 r="A198" s="13"/>
      <c r="B198" s="24"/>
      <c r="C198" s="24"/>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 r="A199" s="13"/>
      <c r="B199" s="24"/>
      <c r="C199" s="24"/>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 r="A200" s="13"/>
      <c r="B200" s="24"/>
      <c r="C200" s="24"/>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 r="A201" s="13"/>
      <c r="B201" s="24"/>
      <c r="C201" s="24"/>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 r="A202" s="13"/>
      <c r="B202" s="24"/>
      <c r="C202" s="24"/>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 r="A203" s="13"/>
      <c r="B203" s="24"/>
      <c r="C203" s="24"/>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 r="A204" s="13"/>
      <c r="B204" s="24"/>
      <c r="C204" s="24"/>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 r="A205" s="13"/>
      <c r="B205" s="24"/>
      <c r="C205" s="24"/>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 r="A206" s="13"/>
      <c r="B206" s="24"/>
      <c r="C206" s="24"/>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 r="A207" s="13"/>
      <c r="B207" s="24"/>
      <c r="C207" s="24"/>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 r="A208" s="13"/>
      <c r="B208" s="24"/>
      <c r="C208" s="24"/>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 r="A209" s="13"/>
      <c r="B209" s="24"/>
      <c r="C209" s="24"/>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 r="A210" s="13"/>
      <c r="B210" s="24"/>
      <c r="C210" s="24"/>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 r="A211" s="13"/>
      <c r="B211" s="24"/>
      <c r="C211" s="24"/>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 r="A212" s="13"/>
      <c r="B212" s="24"/>
      <c r="C212" s="24"/>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 r="A213" s="13"/>
      <c r="B213" s="24"/>
      <c r="C213" s="24"/>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 r="A214" s="13"/>
      <c r="B214" s="24"/>
      <c r="C214" s="24"/>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 r="A215" s="13"/>
      <c r="B215" s="24"/>
      <c r="C215" s="24"/>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 r="A216" s="13"/>
      <c r="B216" s="24"/>
      <c r="C216" s="24"/>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 r="A217" s="13"/>
      <c r="B217" s="24"/>
      <c r="C217" s="24"/>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 r="A218" s="13"/>
      <c r="B218" s="24"/>
      <c r="C218" s="24"/>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 r="A219" s="13"/>
      <c r="B219" s="24"/>
      <c r="C219" s="24"/>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 r="A220" s="13"/>
      <c r="B220" s="24"/>
      <c r="C220" s="24"/>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 r="A221" s="13"/>
      <c r="B221" s="24"/>
      <c r="C221" s="24"/>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 r="A222" s="13"/>
      <c r="B222" s="24"/>
      <c r="C222" s="24"/>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 r="A223" s="13"/>
      <c r="B223" s="24"/>
      <c r="C223" s="24"/>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 r="A224" s="13"/>
      <c r="B224" s="24"/>
      <c r="C224" s="24"/>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 r="A225" s="13"/>
      <c r="B225" s="24"/>
      <c r="C225" s="24"/>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 r="A226" s="13"/>
      <c r="B226" s="24"/>
      <c r="C226" s="24"/>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 r="A227" s="13"/>
      <c r="B227" s="24"/>
      <c r="C227" s="24"/>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 r="A228" s="13"/>
      <c r="B228" s="24"/>
      <c r="C228" s="24"/>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 r="A229" s="13"/>
      <c r="B229" s="24"/>
      <c r="C229" s="24"/>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 r="A230" s="13"/>
      <c r="B230" s="24"/>
      <c r="C230" s="24"/>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 r="A231" s="13"/>
      <c r="B231" s="24"/>
      <c r="C231" s="24"/>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 r="A232" s="13"/>
      <c r="B232" s="24"/>
      <c r="C232" s="24"/>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 r="A233" s="13"/>
      <c r="B233" s="24"/>
      <c r="C233" s="24"/>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 r="A234" s="13"/>
      <c r="B234" s="24"/>
      <c r="C234" s="24"/>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 r="A235" s="13"/>
      <c r="B235" s="24"/>
      <c r="C235" s="24"/>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 r="A236" s="13"/>
      <c r="B236" s="24"/>
      <c r="C236" s="24"/>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 r="A237" s="13"/>
      <c r="B237" s="24"/>
      <c r="C237" s="24"/>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 r="A238" s="13"/>
      <c r="B238" s="24"/>
      <c r="C238" s="24"/>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 r="A239" s="13"/>
      <c r="B239" s="24"/>
      <c r="C239" s="24"/>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 r="A240" s="13"/>
      <c r="B240" s="24"/>
      <c r="C240" s="24"/>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 r="A241" s="13"/>
      <c r="B241" s="24"/>
      <c r="C241" s="24"/>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 r="A242" s="13"/>
      <c r="B242" s="24"/>
      <c r="C242" s="24"/>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 r="A243" s="13"/>
      <c r="B243" s="24"/>
      <c r="C243" s="24"/>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 r="A244" s="13"/>
      <c r="B244" s="24"/>
      <c r="C244" s="24"/>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 r="A245" s="13"/>
      <c r="B245" s="24"/>
      <c r="C245" s="24"/>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 r="A246" s="13"/>
      <c r="B246" s="24"/>
      <c r="C246" s="24"/>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 r="A247" s="13"/>
      <c r="B247" s="24"/>
      <c r="C247" s="24"/>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 r="A248" s="13"/>
      <c r="B248" s="24"/>
      <c r="C248" s="24"/>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 r="A249" s="13"/>
      <c r="B249" s="24"/>
      <c r="C249" s="24"/>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 r="A250" s="13"/>
      <c r="B250" s="24"/>
      <c r="C250" s="24"/>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 r="A251" s="13"/>
      <c r="B251" s="24"/>
      <c r="C251" s="24"/>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 r="A252" s="13"/>
      <c r="B252" s="24"/>
      <c r="C252" s="24"/>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 r="A253" s="13"/>
      <c r="B253" s="24"/>
      <c r="C253" s="24"/>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 r="A254" s="13"/>
      <c r="B254" s="24"/>
      <c r="C254" s="24"/>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 r="A255" s="13"/>
      <c r="B255" s="24"/>
      <c r="C255" s="24"/>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 r="A256" s="13"/>
      <c r="B256" s="24"/>
      <c r="C256" s="24"/>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 r="A257" s="13"/>
      <c r="B257" s="24"/>
      <c r="C257" s="24"/>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 r="A258" s="13"/>
      <c r="B258" s="24"/>
      <c r="C258" s="24"/>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 r="A259" s="13"/>
      <c r="B259" s="24"/>
      <c r="C259" s="24"/>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 r="A260" s="13"/>
      <c r="B260" s="24"/>
      <c r="C260" s="24"/>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 r="A261" s="13"/>
      <c r="B261" s="24"/>
      <c r="C261" s="24"/>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 r="A262" s="13"/>
      <c r="B262" s="24"/>
      <c r="C262" s="24"/>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 r="A263" s="13"/>
      <c r="B263" s="24"/>
      <c r="C263" s="24"/>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 r="A264" s="13"/>
      <c r="B264" s="24"/>
      <c r="C264" s="24"/>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 r="A265" s="13"/>
      <c r="B265" s="24"/>
      <c r="C265" s="24"/>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 r="A266" s="13"/>
      <c r="B266" s="24"/>
      <c r="C266" s="24"/>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 r="A267" s="13"/>
      <c r="B267" s="24"/>
      <c r="C267" s="24"/>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 r="A268" s="13"/>
      <c r="B268" s="24"/>
      <c r="C268" s="24"/>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 r="A269" s="13"/>
      <c r="B269" s="24"/>
      <c r="C269" s="24"/>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 r="A270" s="13"/>
      <c r="B270" s="24"/>
      <c r="C270" s="24"/>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 r="A271" s="13"/>
      <c r="B271" s="24"/>
      <c r="C271" s="24"/>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 r="A272" s="13"/>
      <c r="B272" s="24"/>
      <c r="C272" s="24"/>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 r="A273" s="13"/>
      <c r="B273" s="24"/>
      <c r="C273" s="24"/>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 r="A274" s="13"/>
      <c r="B274" s="24"/>
      <c r="C274" s="24"/>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 r="A275" s="13"/>
      <c r="B275" s="24"/>
      <c r="C275" s="24"/>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 r="A276" s="13"/>
      <c r="B276" s="24"/>
      <c r="C276" s="24"/>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 r="A277" s="13"/>
      <c r="B277" s="24"/>
      <c r="C277" s="24"/>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 r="A278" s="13"/>
      <c r="B278" s="24"/>
      <c r="C278" s="24"/>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 r="A279" s="13"/>
      <c r="B279" s="24"/>
      <c r="C279" s="24"/>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 r="A280" s="13"/>
      <c r="B280" s="24"/>
      <c r="C280" s="24"/>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 r="A281" s="13"/>
      <c r="B281" s="24"/>
      <c r="C281" s="24"/>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 r="A282" s="13"/>
      <c r="B282" s="24"/>
      <c r="C282" s="24"/>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 r="A283" s="13"/>
      <c r="B283" s="24"/>
      <c r="C283" s="24"/>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 r="A284" s="13"/>
      <c r="B284" s="24"/>
      <c r="C284" s="24"/>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 r="A285" s="13"/>
      <c r="B285" s="24"/>
      <c r="C285" s="24"/>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 r="A286" s="13"/>
      <c r="B286" s="24"/>
      <c r="C286" s="24"/>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 r="A287" s="13"/>
      <c r="B287" s="24"/>
      <c r="C287" s="24"/>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 r="A288" s="13"/>
      <c r="B288" s="24"/>
      <c r="C288" s="24"/>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 r="A289" s="13"/>
      <c r="B289" s="24"/>
      <c r="C289" s="24"/>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 r="A290" s="13"/>
      <c r="B290" s="24"/>
      <c r="C290" s="24"/>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 r="A291" s="13"/>
      <c r="B291" s="24"/>
      <c r="C291" s="24"/>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 r="A292" s="13"/>
      <c r="B292" s="24"/>
      <c r="C292" s="24"/>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 r="A293" s="13"/>
      <c r="B293" s="24"/>
      <c r="C293" s="24"/>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 r="A294" s="13"/>
      <c r="B294" s="24"/>
      <c r="C294" s="24"/>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 r="A295" s="13"/>
      <c r="B295" s="24"/>
      <c r="C295" s="24"/>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 r="A296" s="13"/>
      <c r="B296" s="24"/>
      <c r="C296" s="24"/>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 r="A297" s="13"/>
      <c r="B297" s="24"/>
      <c r="C297" s="24"/>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 r="A298" s="13"/>
      <c r="B298" s="24"/>
      <c r="C298" s="24"/>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 r="A299" s="13"/>
      <c r="B299" s="24"/>
      <c r="C299" s="24"/>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 r="A300" s="13"/>
      <c r="B300" s="24"/>
      <c r="C300" s="24"/>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 r="A301" s="13"/>
      <c r="B301" s="24"/>
      <c r="C301" s="24"/>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 r="A302" s="13"/>
      <c r="B302" s="24"/>
      <c r="C302" s="24"/>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 r="A303" s="13"/>
      <c r="B303" s="24"/>
      <c r="C303" s="24"/>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 r="A304" s="13"/>
      <c r="B304" s="24"/>
      <c r="C304" s="24"/>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 r="A305" s="13"/>
      <c r="B305" s="24"/>
      <c r="C305" s="24"/>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 r="A306" s="13"/>
      <c r="B306" s="24"/>
      <c r="C306" s="24"/>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 r="A307" s="13"/>
      <c r="B307" s="24"/>
      <c r="C307" s="24"/>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 r="A308" s="13"/>
      <c r="B308" s="24"/>
      <c r="C308" s="24"/>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 r="A309" s="13"/>
      <c r="B309" s="24"/>
      <c r="C309" s="24"/>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 r="A310" s="13"/>
      <c r="B310" s="24"/>
      <c r="C310" s="24"/>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 r="A311" s="13"/>
      <c r="B311" s="24"/>
      <c r="C311" s="24"/>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 r="A312" s="13"/>
      <c r="B312" s="24"/>
      <c r="C312" s="24"/>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 r="A313" s="13"/>
      <c r="B313" s="24"/>
      <c r="C313" s="24"/>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 r="A314" s="13"/>
      <c r="B314" s="24"/>
      <c r="C314" s="24"/>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 r="A315" s="13"/>
      <c r="B315" s="24"/>
      <c r="C315" s="24"/>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 r="A316" s="13"/>
      <c r="B316" s="24"/>
      <c r="C316" s="24"/>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 r="A317" s="13"/>
      <c r="B317" s="24"/>
      <c r="C317" s="24"/>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 r="A318" s="13"/>
      <c r="B318" s="24"/>
      <c r="C318" s="24"/>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 r="A319" s="13"/>
      <c r="B319" s="24"/>
      <c r="C319" s="24"/>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 r="A320" s="13"/>
      <c r="B320" s="24"/>
      <c r="C320" s="24"/>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 r="A321" s="13"/>
      <c r="B321" s="24"/>
      <c r="C321" s="24"/>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 r="A322" s="13"/>
      <c r="B322" s="24"/>
      <c r="C322" s="24"/>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 r="A323" s="13"/>
      <c r="B323" s="24"/>
      <c r="C323" s="24"/>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 r="A324" s="13"/>
      <c r="B324" s="24"/>
      <c r="C324" s="24"/>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 r="A325" s="13"/>
      <c r="B325" s="24"/>
      <c r="C325" s="24"/>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 r="A326" s="13"/>
      <c r="B326" s="24"/>
      <c r="C326" s="24"/>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 r="A327" s="13"/>
      <c r="B327" s="24"/>
      <c r="C327" s="24"/>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 r="A328" s="13"/>
      <c r="B328" s="24"/>
      <c r="C328" s="24"/>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 r="A329" s="13"/>
      <c r="B329" s="24"/>
      <c r="C329" s="24"/>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 r="A330" s="13"/>
      <c r="B330" s="24"/>
      <c r="C330" s="24"/>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 r="A331" s="13"/>
      <c r="B331" s="24"/>
      <c r="C331" s="24"/>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 r="A332" s="13"/>
      <c r="B332" s="24"/>
      <c r="C332" s="24"/>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 r="A333" s="13"/>
      <c r="B333" s="24"/>
      <c r="C333" s="24"/>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 r="A334" s="13"/>
      <c r="B334" s="24"/>
      <c r="C334" s="24"/>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 r="A335" s="13"/>
      <c r="B335" s="24"/>
      <c r="C335" s="24"/>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 r="A336" s="13"/>
      <c r="B336" s="24"/>
      <c r="C336" s="24"/>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 r="A337" s="13"/>
      <c r="B337" s="24"/>
      <c r="C337" s="24"/>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 r="A338" s="13"/>
      <c r="B338" s="24"/>
      <c r="C338" s="24"/>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 r="A339" s="13"/>
      <c r="B339" s="24"/>
      <c r="C339" s="24"/>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 r="A340" s="13"/>
      <c r="B340" s="24"/>
      <c r="C340" s="24"/>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 r="A341" s="13"/>
      <c r="B341" s="24"/>
      <c r="C341" s="24"/>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 r="A342" s="13"/>
      <c r="B342" s="24"/>
      <c r="C342" s="24"/>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 r="A343" s="13"/>
      <c r="B343" s="24"/>
      <c r="C343" s="24"/>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 r="A344" s="13"/>
      <c r="B344" s="24"/>
      <c r="C344" s="24"/>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 r="A345" s="13"/>
      <c r="B345" s="24"/>
      <c r="C345" s="24"/>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 r="A346" s="13"/>
      <c r="B346" s="24"/>
      <c r="C346" s="24"/>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 r="A347" s="13"/>
      <c r="B347" s="24"/>
      <c r="C347" s="24"/>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 r="A348" s="13"/>
      <c r="B348" s="24"/>
      <c r="C348" s="24"/>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 r="A349" s="13"/>
      <c r="B349" s="24"/>
      <c r="C349" s="24"/>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 r="A350" s="13"/>
      <c r="B350" s="24"/>
      <c r="C350" s="24"/>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 r="A351" s="13"/>
      <c r="B351" s="24"/>
      <c r="C351" s="24"/>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 r="A352" s="13"/>
      <c r="B352" s="24"/>
      <c r="C352" s="24"/>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 r="A353" s="13"/>
      <c r="B353" s="24"/>
      <c r="C353" s="24"/>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 r="A354" s="13"/>
      <c r="B354" s="24"/>
      <c r="C354" s="24"/>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 r="A355" s="13"/>
      <c r="B355" s="24"/>
      <c r="C355" s="24"/>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 r="A356" s="13"/>
      <c r="B356" s="24"/>
      <c r="C356" s="24"/>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 r="A357" s="13"/>
      <c r="B357" s="24"/>
      <c r="C357" s="24"/>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 r="A358" s="13"/>
      <c r="B358" s="24"/>
      <c r="C358" s="24"/>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 r="A359" s="13"/>
      <c r="B359" s="24"/>
      <c r="C359" s="24"/>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 r="A360" s="13"/>
      <c r="B360" s="24"/>
      <c r="C360" s="24"/>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 r="A361" s="13"/>
      <c r="B361" s="24"/>
      <c r="C361" s="24"/>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 r="A362" s="13"/>
      <c r="B362" s="24"/>
      <c r="C362" s="24"/>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 r="A363" s="13"/>
      <c r="B363" s="24"/>
      <c r="C363" s="24"/>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 r="A364" s="13"/>
      <c r="B364" s="24"/>
      <c r="C364" s="24"/>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 r="A365" s="13"/>
      <c r="B365" s="24"/>
      <c r="C365" s="24"/>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 r="A366" s="13"/>
      <c r="B366" s="24"/>
      <c r="C366" s="24"/>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 r="A367" s="13"/>
      <c r="B367" s="24"/>
      <c r="C367" s="24"/>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 r="A368" s="13"/>
      <c r="B368" s="24"/>
      <c r="C368" s="24"/>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 r="A369" s="13"/>
      <c r="B369" s="24"/>
      <c r="C369" s="24"/>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 r="A370" s="13"/>
      <c r="B370" s="24"/>
      <c r="C370" s="24"/>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 r="A371" s="13"/>
      <c r="B371" s="24"/>
      <c r="C371" s="24"/>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 r="A372" s="13"/>
      <c r="B372" s="24"/>
      <c r="C372" s="24"/>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 r="A373" s="13"/>
      <c r="B373" s="24"/>
      <c r="C373" s="24"/>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 r="A374" s="13"/>
      <c r="B374" s="24"/>
      <c r="C374" s="24"/>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 r="A375" s="13"/>
      <c r="B375" s="24"/>
      <c r="C375" s="24"/>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 r="A376" s="13"/>
      <c r="B376" s="24"/>
      <c r="C376" s="24"/>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 r="A377" s="13"/>
      <c r="B377" s="24"/>
      <c r="C377" s="24"/>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 r="A378" s="13"/>
      <c r="B378" s="24"/>
      <c r="C378" s="24"/>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 r="A379" s="13"/>
      <c r="B379" s="24"/>
      <c r="C379" s="24"/>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 r="A380" s="13"/>
      <c r="B380" s="24"/>
      <c r="C380" s="24"/>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 r="A381" s="13"/>
      <c r="B381" s="24"/>
      <c r="C381" s="24"/>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 r="A382" s="13"/>
      <c r="B382" s="24"/>
      <c r="C382" s="24"/>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 r="A383" s="13"/>
      <c r="B383" s="24"/>
      <c r="C383" s="24"/>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 r="A384" s="13"/>
      <c r="B384" s="24"/>
      <c r="C384" s="24"/>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 r="A385" s="13"/>
      <c r="B385" s="24"/>
      <c r="C385" s="24"/>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 r="A386" s="13"/>
      <c r="B386" s="24"/>
      <c r="C386" s="24"/>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 r="A387" s="13"/>
      <c r="B387" s="24"/>
      <c r="C387" s="24"/>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 r="A388" s="13"/>
      <c r="B388" s="24"/>
      <c r="C388" s="24"/>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 r="A389" s="13"/>
      <c r="B389" s="24"/>
      <c r="C389" s="24"/>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 r="A390" s="13"/>
      <c r="B390" s="24"/>
      <c r="C390" s="24"/>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 r="A391" s="13"/>
      <c r="B391" s="24"/>
      <c r="C391" s="24"/>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 r="A392" s="13"/>
      <c r="B392" s="24"/>
      <c r="C392" s="24"/>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 r="A393" s="13"/>
      <c r="B393" s="24"/>
      <c r="C393" s="24"/>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 r="A394" s="13"/>
      <c r="B394" s="24"/>
      <c r="C394" s="24"/>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 r="A395" s="13"/>
      <c r="B395" s="24"/>
      <c r="C395" s="24"/>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 r="A396" s="13"/>
      <c r="B396" s="24"/>
      <c r="C396" s="24"/>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 r="A397" s="13"/>
      <c r="B397" s="24"/>
      <c r="C397" s="24"/>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 r="A398" s="13"/>
      <c r="B398" s="24"/>
      <c r="C398" s="24"/>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 r="A399" s="13"/>
      <c r="B399" s="24"/>
      <c r="C399" s="24"/>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 r="A400" s="13"/>
      <c r="B400" s="24"/>
      <c r="C400" s="24"/>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 r="A401" s="13"/>
      <c r="B401" s="24"/>
      <c r="C401" s="24"/>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 r="A402" s="13"/>
      <c r="B402" s="24"/>
      <c r="C402" s="24"/>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 r="A403" s="13"/>
      <c r="B403" s="24"/>
      <c r="C403" s="24"/>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 r="A404" s="13"/>
      <c r="B404" s="24"/>
      <c r="C404" s="24"/>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 r="A405" s="13"/>
      <c r="B405" s="24"/>
      <c r="C405" s="24"/>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 r="A406" s="13"/>
      <c r="B406" s="24"/>
      <c r="C406" s="24"/>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 r="A407" s="13"/>
      <c r="B407" s="24"/>
      <c r="C407" s="24"/>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 r="A408" s="13"/>
      <c r="B408" s="24"/>
      <c r="C408" s="24"/>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 r="A409" s="13"/>
      <c r="B409" s="24"/>
      <c r="C409" s="24"/>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 r="A410" s="13"/>
      <c r="B410" s="24"/>
      <c r="C410" s="24"/>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 r="A411" s="13"/>
      <c r="B411" s="24"/>
      <c r="C411" s="24"/>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 r="A412" s="13"/>
      <c r="B412" s="24"/>
      <c r="C412" s="24"/>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 r="A413" s="13"/>
      <c r="B413" s="24"/>
      <c r="C413" s="24"/>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 r="A414" s="13"/>
      <c r="B414" s="24"/>
      <c r="C414" s="24"/>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 r="A415" s="13"/>
      <c r="B415" s="24"/>
      <c r="C415" s="24"/>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 r="A416" s="13"/>
      <c r="B416" s="24"/>
      <c r="C416" s="24"/>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 r="A417" s="13"/>
      <c r="B417" s="24"/>
      <c r="C417" s="24"/>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 r="A418" s="13"/>
      <c r="B418" s="24"/>
      <c r="C418" s="24"/>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 r="A419" s="13"/>
      <c r="B419" s="24"/>
      <c r="C419" s="24"/>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 r="A420" s="13"/>
      <c r="B420" s="24"/>
      <c r="C420" s="24"/>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 r="A421" s="13"/>
      <c r="B421" s="24"/>
      <c r="C421" s="24"/>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 r="A422" s="13"/>
      <c r="B422" s="24"/>
      <c r="C422" s="24"/>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 r="A423" s="13"/>
      <c r="B423" s="24"/>
      <c r="C423" s="24"/>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 r="A424" s="13"/>
      <c r="B424" s="24"/>
      <c r="C424" s="24"/>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 r="A425" s="13"/>
      <c r="B425" s="24"/>
      <c r="C425" s="24"/>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 r="A426" s="13"/>
      <c r="B426" s="24"/>
      <c r="C426" s="24"/>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 r="A427" s="13"/>
      <c r="B427" s="24"/>
      <c r="C427" s="24"/>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 r="A428" s="13"/>
      <c r="B428" s="24"/>
      <c r="C428" s="24"/>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 r="A429" s="13"/>
      <c r="B429" s="24"/>
      <c r="C429" s="24"/>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 r="A430" s="13"/>
      <c r="B430" s="24"/>
      <c r="C430" s="24"/>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 r="A431" s="13"/>
      <c r="B431" s="24"/>
      <c r="C431" s="24"/>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 r="A432" s="13"/>
      <c r="B432" s="24"/>
      <c r="C432" s="24"/>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 r="A433" s="13"/>
      <c r="B433" s="24"/>
      <c r="C433" s="24"/>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 r="A434" s="13"/>
      <c r="B434" s="24"/>
      <c r="C434" s="24"/>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 r="A435" s="13"/>
      <c r="B435" s="24"/>
      <c r="C435" s="24"/>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 r="A436" s="13"/>
      <c r="B436" s="24"/>
      <c r="C436" s="24"/>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 r="A437" s="13"/>
      <c r="B437" s="24"/>
      <c r="C437" s="24"/>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 r="A438" s="13"/>
      <c r="B438" s="24"/>
      <c r="C438" s="24"/>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 r="A439" s="13"/>
      <c r="B439" s="24"/>
      <c r="C439" s="24"/>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 r="A440" s="13"/>
      <c r="B440" s="24"/>
      <c r="C440" s="24"/>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 r="A441" s="13"/>
      <c r="B441" s="24"/>
      <c r="C441" s="24"/>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 r="A442" s="13"/>
      <c r="B442" s="24"/>
      <c r="C442" s="24"/>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 r="A443" s="13"/>
      <c r="B443" s="24"/>
      <c r="C443" s="24"/>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 r="A444" s="13"/>
      <c r="B444" s="24"/>
      <c r="C444" s="24"/>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 r="A445" s="13"/>
      <c r="B445" s="24"/>
      <c r="C445" s="24"/>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 r="A446" s="13"/>
      <c r="B446" s="24"/>
      <c r="C446" s="24"/>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 r="A447" s="13"/>
      <c r="B447" s="24"/>
      <c r="C447" s="24"/>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 r="A448" s="13"/>
      <c r="B448" s="24"/>
      <c r="C448" s="24"/>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 r="A449" s="13"/>
      <c r="B449" s="24"/>
      <c r="C449" s="24"/>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 r="A450" s="13"/>
      <c r="B450" s="24"/>
      <c r="C450" s="24"/>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 r="A451" s="13"/>
      <c r="B451" s="24"/>
      <c r="C451" s="24"/>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 r="A452" s="13"/>
      <c r="B452" s="24"/>
      <c r="C452" s="24"/>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 r="A453" s="13"/>
      <c r="B453" s="24"/>
      <c r="C453" s="24"/>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 r="A454" s="13"/>
      <c r="B454" s="24"/>
      <c r="C454" s="24"/>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 r="A455" s="13"/>
      <c r="B455" s="24"/>
      <c r="C455" s="24"/>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 r="A456" s="13"/>
      <c r="B456" s="24"/>
      <c r="C456" s="24"/>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 r="A457" s="13"/>
      <c r="B457" s="24"/>
      <c r="C457" s="24"/>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 r="A458" s="13"/>
      <c r="B458" s="24"/>
      <c r="C458" s="24"/>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 r="A459" s="13"/>
      <c r="B459" s="24"/>
      <c r="C459" s="24"/>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 r="A460" s="13"/>
      <c r="B460" s="24"/>
      <c r="C460" s="24"/>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 r="A461" s="13"/>
      <c r="B461" s="24"/>
      <c r="C461" s="24"/>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 r="A462" s="13"/>
      <c r="B462" s="24"/>
      <c r="C462" s="24"/>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 r="A463" s="13"/>
      <c r="B463" s="24"/>
      <c r="C463" s="24"/>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 r="A464" s="13"/>
      <c r="B464" s="24"/>
      <c r="C464" s="24"/>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 r="A465" s="13"/>
      <c r="B465" s="24"/>
      <c r="C465" s="24"/>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 r="A466" s="13"/>
      <c r="B466" s="24"/>
      <c r="C466" s="24"/>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 r="A467" s="13"/>
      <c r="B467" s="24"/>
      <c r="C467" s="24"/>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 r="A468" s="13"/>
      <c r="B468" s="24"/>
      <c r="C468" s="24"/>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 r="A469" s="13"/>
      <c r="B469" s="24"/>
      <c r="C469" s="24"/>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 r="A470" s="13"/>
      <c r="B470" s="24"/>
      <c r="C470" s="24"/>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 r="A471" s="13"/>
      <c r="B471" s="24"/>
      <c r="C471" s="24"/>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 r="A472" s="13"/>
      <c r="B472" s="24"/>
      <c r="C472" s="24"/>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 r="A473" s="13"/>
      <c r="B473" s="24"/>
      <c r="C473" s="24"/>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 r="A474" s="13"/>
      <c r="B474" s="24"/>
      <c r="C474" s="24"/>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 r="A475" s="13"/>
      <c r="B475" s="24"/>
      <c r="C475" s="24"/>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 r="A476" s="13"/>
      <c r="B476" s="24"/>
      <c r="C476" s="24"/>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 r="A477" s="13"/>
      <c r="B477" s="24"/>
      <c r="C477" s="24"/>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 r="A478" s="13"/>
      <c r="B478" s="24"/>
      <c r="C478" s="24"/>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 r="A479" s="13"/>
      <c r="B479" s="24"/>
      <c r="C479" s="24"/>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 r="A480" s="13"/>
      <c r="B480" s="24"/>
      <c r="C480" s="24"/>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 r="A481" s="13"/>
      <c r="B481" s="24"/>
      <c r="C481" s="24"/>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 r="A482" s="13"/>
      <c r="B482" s="24"/>
      <c r="C482" s="24"/>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 r="A483" s="13"/>
      <c r="B483" s="24"/>
      <c r="C483" s="24"/>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 r="A484" s="13"/>
      <c r="B484" s="24"/>
      <c r="C484" s="24"/>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 r="A485" s="13"/>
      <c r="B485" s="24"/>
      <c r="C485" s="24"/>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 r="A486" s="13"/>
      <c r="B486" s="24"/>
      <c r="C486" s="24"/>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 r="A487" s="13"/>
      <c r="B487" s="24"/>
      <c r="C487" s="24"/>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 r="A488" s="13"/>
      <c r="B488" s="24"/>
      <c r="C488" s="24"/>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 r="A489" s="13"/>
      <c r="B489" s="24"/>
      <c r="C489" s="24"/>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 r="A490" s="13"/>
      <c r="B490" s="24"/>
      <c r="C490" s="24"/>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 r="A491" s="13"/>
      <c r="B491" s="24"/>
      <c r="C491" s="24"/>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 r="A492" s="13"/>
      <c r="B492" s="24"/>
      <c r="C492" s="24"/>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 r="A493" s="13"/>
      <c r="B493" s="24"/>
      <c r="C493" s="24"/>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 r="A494" s="13"/>
      <c r="B494" s="24"/>
      <c r="C494" s="24"/>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 r="A495" s="13"/>
      <c r="B495" s="24"/>
      <c r="C495" s="24"/>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 r="A496" s="13"/>
      <c r="B496" s="24"/>
      <c r="C496" s="24"/>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 r="A497" s="13"/>
      <c r="B497" s="24"/>
      <c r="C497" s="24"/>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 r="A498" s="13"/>
      <c r="B498" s="24"/>
      <c r="C498" s="24"/>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 r="A499" s="13"/>
      <c r="B499" s="24"/>
      <c r="C499" s="24"/>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 r="A500" s="13"/>
      <c r="B500" s="24"/>
      <c r="C500" s="24"/>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 r="A501" s="13"/>
      <c r="B501" s="24"/>
      <c r="C501" s="24"/>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 r="A502" s="13"/>
      <c r="B502" s="24"/>
      <c r="C502" s="24"/>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 r="A503" s="13"/>
      <c r="B503" s="24"/>
      <c r="C503" s="24"/>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 r="A504" s="13"/>
      <c r="B504" s="24"/>
      <c r="C504" s="24"/>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 r="A505" s="13"/>
      <c r="B505" s="24"/>
      <c r="C505" s="24"/>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 r="A506" s="13"/>
      <c r="B506" s="24"/>
      <c r="C506" s="24"/>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 r="A507" s="13"/>
      <c r="B507" s="24"/>
      <c r="C507" s="24"/>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 r="A508" s="13"/>
      <c r="B508" s="24"/>
      <c r="C508" s="24"/>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 r="A509" s="13"/>
      <c r="B509" s="24"/>
      <c r="C509" s="24"/>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 r="A510" s="13"/>
      <c r="B510" s="24"/>
      <c r="C510" s="24"/>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 r="A511" s="13"/>
      <c r="B511" s="24"/>
      <c r="C511" s="24"/>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 r="A512" s="13"/>
      <c r="B512" s="24"/>
      <c r="C512" s="24"/>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 r="A513" s="13"/>
      <c r="B513" s="24"/>
      <c r="C513" s="24"/>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 r="A514" s="13"/>
      <c r="B514" s="24"/>
      <c r="C514" s="24"/>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 r="A515" s="13"/>
      <c r="B515" s="24"/>
      <c r="C515" s="24"/>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 r="A516" s="13"/>
      <c r="B516" s="24"/>
      <c r="C516" s="24"/>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 r="A517" s="13"/>
      <c r="B517" s="24"/>
      <c r="C517" s="24"/>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 r="A518" s="13"/>
      <c r="B518" s="24"/>
      <c r="C518" s="24"/>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 r="A519" s="13"/>
      <c r="B519" s="24"/>
      <c r="C519" s="24"/>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 r="A520" s="13"/>
      <c r="B520" s="24"/>
      <c r="C520" s="24"/>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 r="A521" s="13"/>
      <c r="B521" s="24"/>
      <c r="C521" s="24"/>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 r="A522" s="13"/>
      <c r="B522" s="24"/>
      <c r="C522" s="24"/>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 r="A523" s="13"/>
      <c r="B523" s="24"/>
      <c r="C523" s="24"/>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 r="A524" s="13"/>
      <c r="B524" s="24"/>
      <c r="C524" s="24"/>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 r="A525" s="13"/>
      <c r="B525" s="24"/>
      <c r="C525" s="24"/>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 r="A526" s="13"/>
      <c r="B526" s="24"/>
      <c r="C526" s="24"/>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 r="A527" s="13"/>
      <c r="B527" s="24"/>
      <c r="C527" s="24"/>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 r="A528" s="13"/>
      <c r="B528" s="24"/>
      <c r="C528" s="24"/>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 r="A529" s="13"/>
      <c r="B529" s="24"/>
      <c r="C529" s="24"/>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 r="A530" s="13"/>
      <c r="B530" s="24"/>
      <c r="C530" s="24"/>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 r="A531" s="13"/>
      <c r="B531" s="24"/>
      <c r="C531" s="24"/>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 r="A532" s="13"/>
      <c r="B532" s="24"/>
      <c r="C532" s="24"/>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 r="A533" s="13"/>
      <c r="B533" s="24"/>
      <c r="C533" s="24"/>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 r="A534" s="13"/>
      <c r="B534" s="24"/>
      <c r="C534" s="24"/>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 r="A535" s="13"/>
      <c r="B535" s="24"/>
      <c r="C535" s="24"/>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 r="A536" s="13"/>
      <c r="B536" s="24"/>
      <c r="C536" s="24"/>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 r="A537" s="13"/>
      <c r="B537" s="24"/>
      <c r="C537" s="24"/>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 r="A538" s="13"/>
      <c r="B538" s="24"/>
      <c r="C538" s="24"/>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 r="A539" s="13"/>
      <c r="B539" s="24"/>
      <c r="C539" s="24"/>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 r="A540" s="13"/>
      <c r="B540" s="24"/>
      <c r="C540" s="24"/>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 r="A541" s="13"/>
      <c r="B541" s="24"/>
      <c r="C541" s="24"/>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 r="A542" s="13"/>
      <c r="B542" s="24"/>
      <c r="C542" s="24"/>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 r="A543" s="13"/>
      <c r="B543" s="24"/>
      <c r="C543" s="24"/>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 r="A544" s="13"/>
      <c r="B544" s="24"/>
      <c r="C544" s="24"/>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 r="A545" s="13"/>
      <c r="B545" s="24"/>
      <c r="C545" s="24"/>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 r="A546" s="13"/>
      <c r="B546" s="24"/>
      <c r="C546" s="24"/>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 r="A547" s="13"/>
      <c r="B547" s="24"/>
      <c r="C547" s="24"/>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 r="A548" s="13"/>
      <c r="B548" s="24"/>
      <c r="C548" s="24"/>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 r="A549" s="13"/>
      <c r="B549" s="24"/>
      <c r="C549" s="24"/>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 r="A550" s="13"/>
      <c r="B550" s="24"/>
      <c r="C550" s="24"/>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 r="A551" s="13"/>
      <c r="B551" s="24"/>
      <c r="C551" s="24"/>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 r="A552" s="13"/>
      <c r="B552" s="24"/>
      <c r="C552" s="24"/>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 r="A553" s="13"/>
      <c r="B553" s="24"/>
      <c r="C553" s="24"/>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 r="A554" s="13"/>
      <c r="B554" s="24"/>
      <c r="C554" s="24"/>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 r="A555" s="13"/>
      <c r="B555" s="24"/>
      <c r="C555" s="24"/>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 r="A556" s="13"/>
      <c r="B556" s="24"/>
      <c r="C556" s="24"/>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 r="A557" s="13"/>
      <c r="B557" s="24"/>
      <c r="C557" s="24"/>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 r="A558" s="13"/>
      <c r="B558" s="24"/>
      <c r="C558" s="24"/>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 r="A559" s="13"/>
      <c r="B559" s="24"/>
      <c r="C559" s="24"/>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 r="A560" s="13"/>
      <c r="B560" s="24"/>
      <c r="C560" s="24"/>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 r="A561" s="13"/>
      <c r="B561" s="24"/>
      <c r="C561" s="24"/>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 r="A562" s="13"/>
      <c r="B562" s="24"/>
      <c r="C562" s="24"/>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 r="A563" s="13"/>
      <c r="B563" s="24"/>
      <c r="C563" s="24"/>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 r="A564" s="13"/>
      <c r="B564" s="24"/>
      <c r="C564" s="24"/>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 r="A565" s="13"/>
      <c r="B565" s="24"/>
      <c r="C565" s="24"/>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 r="A566" s="13"/>
      <c r="B566" s="24"/>
      <c r="C566" s="24"/>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 r="A567" s="13"/>
      <c r="B567" s="24"/>
      <c r="C567" s="24"/>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 r="A568" s="13"/>
      <c r="B568" s="24"/>
      <c r="C568" s="24"/>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 r="A569" s="13"/>
      <c r="B569" s="24"/>
      <c r="C569" s="24"/>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 r="A570" s="13"/>
      <c r="B570" s="24"/>
      <c r="C570" s="24"/>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 r="A571" s="13"/>
      <c r="B571" s="24"/>
      <c r="C571" s="24"/>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 r="A572" s="13"/>
      <c r="B572" s="24"/>
      <c r="C572" s="24"/>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 r="A573" s="13"/>
      <c r="B573" s="24"/>
      <c r="C573" s="24"/>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 r="A574" s="13"/>
      <c r="B574" s="24"/>
      <c r="C574" s="24"/>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 r="A575" s="13"/>
      <c r="B575" s="24"/>
      <c r="C575" s="24"/>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 r="A576" s="13"/>
      <c r="B576" s="24"/>
      <c r="C576" s="24"/>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 r="A577" s="13"/>
      <c r="B577" s="24"/>
      <c r="C577" s="24"/>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 r="A578" s="13"/>
      <c r="B578" s="24"/>
      <c r="C578" s="24"/>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 r="A579" s="13"/>
      <c r="B579" s="24"/>
      <c r="C579" s="24"/>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 r="A580" s="13"/>
      <c r="B580" s="24"/>
      <c r="C580" s="24"/>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 r="A581" s="13"/>
      <c r="B581" s="24"/>
      <c r="C581" s="24"/>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 r="A582" s="13"/>
      <c r="B582" s="24"/>
      <c r="C582" s="24"/>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 r="A583" s="13"/>
      <c r="B583" s="24"/>
      <c r="C583" s="24"/>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 r="A584" s="13"/>
      <c r="B584" s="24"/>
      <c r="C584" s="24"/>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 r="A585" s="13"/>
      <c r="B585" s="24"/>
      <c r="C585" s="24"/>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 r="A586" s="13"/>
      <c r="B586" s="24"/>
      <c r="C586" s="24"/>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 r="A587" s="13"/>
      <c r="B587" s="24"/>
      <c r="C587" s="24"/>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 r="A588" s="13"/>
      <c r="B588" s="24"/>
      <c r="C588" s="24"/>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 r="A589" s="13"/>
      <c r="B589" s="24"/>
      <c r="C589" s="24"/>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 r="A590" s="13"/>
      <c r="B590" s="24"/>
      <c r="C590" s="24"/>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 r="A591" s="13"/>
      <c r="B591" s="24"/>
      <c r="C591" s="24"/>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 r="A592" s="13"/>
      <c r="B592" s="24"/>
      <c r="C592" s="24"/>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 r="A593" s="13"/>
      <c r="B593" s="24"/>
      <c r="C593" s="24"/>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 r="A594" s="13"/>
      <c r="B594" s="24"/>
      <c r="C594" s="24"/>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 r="A595" s="13"/>
      <c r="B595" s="24"/>
      <c r="C595" s="24"/>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 r="A596" s="13"/>
      <c r="B596" s="24"/>
      <c r="C596" s="24"/>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 r="A597" s="13"/>
      <c r="B597" s="24"/>
      <c r="C597" s="24"/>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 r="A598" s="13"/>
      <c r="B598" s="24"/>
      <c r="C598" s="24"/>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 r="A599" s="13"/>
      <c r="B599" s="24"/>
      <c r="C599" s="24"/>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 r="A600" s="13"/>
      <c r="B600" s="24"/>
      <c r="C600" s="24"/>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 r="A601" s="13"/>
      <c r="B601" s="24"/>
      <c r="C601" s="24"/>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 r="A602" s="13"/>
      <c r="B602" s="24"/>
      <c r="C602" s="24"/>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 r="A603" s="13"/>
      <c r="B603" s="24"/>
      <c r="C603" s="24"/>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 r="A604" s="13"/>
      <c r="B604" s="24"/>
      <c r="C604" s="24"/>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 r="A605" s="13"/>
      <c r="B605" s="24"/>
      <c r="C605" s="24"/>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 r="A606" s="13"/>
      <c r="B606" s="24"/>
      <c r="C606" s="24"/>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 r="A607" s="13"/>
      <c r="B607" s="24"/>
      <c r="C607" s="24"/>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 r="A608" s="13"/>
      <c r="B608" s="24"/>
      <c r="C608" s="24"/>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 r="A609" s="13"/>
      <c r="B609" s="24"/>
      <c r="C609" s="24"/>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 r="A610" s="13"/>
      <c r="B610" s="24"/>
      <c r="C610" s="24"/>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 r="A611" s="13"/>
      <c r="B611" s="24"/>
      <c r="C611" s="24"/>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 r="A612" s="13"/>
      <c r="B612" s="24"/>
      <c r="C612" s="24"/>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 r="A613" s="13"/>
      <c r="B613" s="24"/>
      <c r="C613" s="24"/>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 r="A614" s="13"/>
      <c r="B614" s="24"/>
      <c r="C614" s="24"/>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 r="A615" s="13"/>
      <c r="B615" s="24"/>
      <c r="C615" s="24"/>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 r="A616" s="13"/>
      <c r="B616" s="24"/>
      <c r="C616" s="24"/>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 r="A617" s="13"/>
      <c r="B617" s="24"/>
      <c r="C617" s="24"/>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 r="A618" s="13"/>
      <c r="B618" s="24"/>
      <c r="C618" s="24"/>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 r="A619" s="13"/>
      <c r="B619" s="24"/>
      <c r="C619" s="24"/>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 r="A620" s="13"/>
      <c r="B620" s="24"/>
      <c r="C620" s="24"/>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 r="A621" s="13"/>
      <c r="B621" s="24"/>
      <c r="C621" s="24"/>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 r="A622" s="13"/>
      <c r="B622" s="24"/>
      <c r="C622" s="24"/>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 r="A623" s="13"/>
      <c r="B623" s="24"/>
      <c r="C623" s="24"/>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 r="A624" s="13"/>
      <c r="B624" s="24"/>
      <c r="C624" s="24"/>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 r="A625" s="13"/>
      <c r="B625" s="24"/>
      <c r="C625" s="24"/>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 r="A626" s="13"/>
      <c r="B626" s="24"/>
      <c r="C626" s="24"/>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 r="A627" s="13"/>
      <c r="B627" s="24"/>
      <c r="C627" s="24"/>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 r="A628" s="13"/>
      <c r="B628" s="24"/>
      <c r="C628" s="24"/>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 r="A629" s="13"/>
      <c r="B629" s="24"/>
      <c r="C629" s="24"/>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 r="A630" s="13"/>
      <c r="B630" s="24"/>
      <c r="C630" s="24"/>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 r="A631" s="13"/>
      <c r="B631" s="24"/>
      <c r="C631" s="24"/>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 r="A632" s="13"/>
      <c r="B632" s="24"/>
      <c r="C632" s="24"/>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 r="A633" s="13"/>
      <c r="B633" s="24"/>
      <c r="C633" s="24"/>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 r="A634" s="13"/>
      <c r="B634" s="24"/>
      <c r="C634" s="24"/>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 r="A635" s="13"/>
      <c r="B635" s="24"/>
      <c r="C635" s="24"/>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 r="A636" s="13"/>
      <c r="B636" s="24"/>
      <c r="C636" s="24"/>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 r="A637" s="13"/>
      <c r="B637" s="24"/>
      <c r="C637" s="24"/>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 r="A638" s="13"/>
      <c r="B638" s="24"/>
      <c r="C638" s="24"/>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 r="A639" s="13"/>
      <c r="B639" s="24"/>
      <c r="C639" s="24"/>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 r="A640" s="13"/>
      <c r="B640" s="24"/>
      <c r="C640" s="24"/>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 r="A641" s="13"/>
      <c r="B641" s="24"/>
      <c r="C641" s="24"/>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 r="A642" s="13"/>
      <c r="B642" s="24"/>
      <c r="C642" s="24"/>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 r="A643" s="13"/>
      <c r="B643" s="24"/>
      <c r="C643" s="24"/>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 r="A644" s="13"/>
      <c r="B644" s="24"/>
      <c r="C644" s="24"/>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 r="A645" s="13"/>
      <c r="B645" s="24"/>
      <c r="C645" s="24"/>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 r="A646" s="13"/>
      <c r="B646" s="24"/>
      <c r="C646" s="24"/>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 r="A647" s="13"/>
      <c r="B647" s="24"/>
      <c r="C647" s="24"/>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 r="A648" s="13"/>
      <c r="B648" s="24"/>
      <c r="C648" s="24"/>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 r="A649" s="13"/>
      <c r="B649" s="24"/>
      <c r="C649" s="24"/>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 r="A650" s="13"/>
      <c r="B650" s="24"/>
      <c r="C650" s="24"/>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 r="A651" s="13"/>
      <c r="B651" s="24"/>
      <c r="C651" s="24"/>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 r="A652" s="13"/>
      <c r="B652" s="24"/>
      <c r="C652" s="24"/>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 r="A653" s="13"/>
      <c r="B653" s="24"/>
      <c r="C653" s="24"/>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 r="A654" s="13"/>
      <c r="B654" s="24"/>
      <c r="C654" s="24"/>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 r="A655" s="13"/>
      <c r="B655" s="24"/>
      <c r="C655" s="24"/>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 r="A656" s="13"/>
      <c r="B656" s="24"/>
      <c r="C656" s="24"/>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 r="A657" s="13"/>
      <c r="B657" s="24"/>
      <c r="C657" s="24"/>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 r="A658" s="13"/>
      <c r="B658" s="24"/>
      <c r="C658" s="24"/>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 r="A659" s="13"/>
      <c r="B659" s="24"/>
      <c r="C659" s="24"/>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 r="A660" s="13"/>
      <c r="B660" s="24"/>
      <c r="C660" s="24"/>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 r="A661" s="13"/>
      <c r="B661" s="24"/>
      <c r="C661" s="24"/>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 r="A662" s="13"/>
      <c r="B662" s="24"/>
      <c r="C662" s="24"/>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 r="A663" s="13"/>
      <c r="B663" s="24"/>
      <c r="C663" s="24"/>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 r="A664" s="13"/>
      <c r="B664" s="24"/>
      <c r="C664" s="24"/>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 r="A665" s="13"/>
      <c r="B665" s="24"/>
      <c r="C665" s="24"/>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 r="A666" s="13"/>
      <c r="B666" s="24"/>
      <c r="C666" s="24"/>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 r="A667" s="13"/>
      <c r="B667" s="24"/>
      <c r="C667" s="24"/>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 r="A668" s="13"/>
      <c r="B668" s="24"/>
      <c r="C668" s="24"/>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 r="A669" s="13"/>
      <c r="B669" s="24"/>
      <c r="C669" s="24"/>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 r="A670" s="13"/>
      <c r="B670" s="24"/>
      <c r="C670" s="24"/>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 r="A671" s="13"/>
      <c r="B671" s="24"/>
      <c r="C671" s="24"/>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 r="A672" s="13"/>
      <c r="B672" s="24"/>
      <c r="C672" s="24"/>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 r="A673" s="13"/>
      <c r="B673" s="24"/>
      <c r="C673" s="24"/>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 r="A674" s="13"/>
      <c r="B674" s="24"/>
      <c r="C674" s="24"/>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 r="A675" s="13"/>
      <c r="B675" s="24"/>
      <c r="C675" s="24"/>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 r="A676" s="13"/>
      <c r="B676" s="24"/>
      <c r="C676" s="24"/>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 r="A677" s="13"/>
      <c r="B677" s="24"/>
      <c r="C677" s="24"/>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 r="A678" s="13"/>
      <c r="B678" s="24"/>
      <c r="C678" s="24"/>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 r="A679" s="13"/>
      <c r="B679" s="24"/>
      <c r="C679" s="24"/>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 r="A680" s="13"/>
      <c r="B680" s="24"/>
      <c r="C680" s="24"/>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 r="A681" s="13"/>
      <c r="B681" s="24"/>
      <c r="C681" s="24"/>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 r="A682" s="13"/>
      <c r="B682" s="24"/>
      <c r="C682" s="24"/>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 r="A683" s="13"/>
      <c r="B683" s="24"/>
      <c r="C683" s="24"/>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 r="A684" s="13"/>
      <c r="B684" s="24"/>
      <c r="C684" s="24"/>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 r="A685" s="13"/>
      <c r="B685" s="24"/>
      <c r="C685" s="24"/>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 r="A686" s="13"/>
      <c r="B686" s="24"/>
      <c r="C686" s="24"/>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 r="A687" s="13"/>
      <c r="B687" s="24"/>
      <c r="C687" s="24"/>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 r="A688" s="13"/>
      <c r="B688" s="24"/>
      <c r="C688" s="24"/>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 r="A689" s="13"/>
      <c r="B689" s="24"/>
      <c r="C689" s="24"/>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 r="A690" s="13"/>
      <c r="B690" s="24"/>
      <c r="C690" s="24"/>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 r="A691" s="13"/>
      <c r="B691" s="24"/>
      <c r="C691" s="24"/>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 r="A692" s="13"/>
      <c r="B692" s="24"/>
      <c r="C692" s="24"/>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 r="A693" s="13"/>
      <c r="B693" s="24"/>
      <c r="C693" s="24"/>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 r="A694" s="13"/>
      <c r="B694" s="24"/>
      <c r="C694" s="24"/>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 r="A695" s="13"/>
      <c r="B695" s="24"/>
      <c r="C695" s="24"/>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 r="A696" s="13"/>
      <c r="B696" s="24"/>
      <c r="C696" s="24"/>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 r="A697" s="13"/>
      <c r="B697" s="24"/>
      <c r="C697" s="24"/>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 r="A698" s="13"/>
      <c r="B698" s="24"/>
      <c r="C698" s="24"/>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 r="A699" s="13"/>
      <c r="B699" s="24"/>
      <c r="C699" s="24"/>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 r="A700" s="13"/>
      <c r="B700" s="24"/>
      <c r="C700" s="24"/>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 r="A701" s="13"/>
      <c r="B701" s="24"/>
      <c r="C701" s="24"/>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 r="A702" s="13"/>
      <c r="B702" s="24"/>
      <c r="C702" s="24"/>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 r="A703" s="13"/>
      <c r="B703" s="24"/>
      <c r="C703" s="24"/>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 r="A704" s="13"/>
      <c r="B704" s="24"/>
      <c r="C704" s="24"/>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 r="A705" s="13"/>
      <c r="B705" s="24"/>
      <c r="C705" s="24"/>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 r="A706" s="13"/>
      <c r="B706" s="24"/>
      <c r="C706" s="24"/>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 r="A707" s="13"/>
      <c r="B707" s="24"/>
      <c r="C707" s="24"/>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 r="A708" s="13"/>
      <c r="B708" s="24"/>
      <c r="C708" s="24"/>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 r="A709" s="13"/>
      <c r="B709" s="24"/>
      <c r="C709" s="24"/>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 r="A710" s="13"/>
      <c r="B710" s="24"/>
      <c r="C710" s="24"/>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 r="A711" s="13"/>
      <c r="B711" s="24"/>
      <c r="C711" s="24"/>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 r="A712" s="13"/>
      <c r="B712" s="24"/>
      <c r="C712" s="24"/>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 r="A713" s="13"/>
      <c r="B713" s="24"/>
      <c r="C713" s="24"/>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 r="A714" s="13"/>
      <c r="B714" s="24"/>
      <c r="C714" s="24"/>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 r="A715" s="13"/>
      <c r="B715" s="24"/>
      <c r="C715" s="24"/>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 r="A716" s="13"/>
      <c r="B716" s="24"/>
      <c r="C716" s="24"/>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 r="A717" s="13"/>
      <c r="B717" s="24"/>
      <c r="C717" s="24"/>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 r="A718" s="13"/>
      <c r="B718" s="24"/>
      <c r="C718" s="24"/>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 r="A719" s="13"/>
      <c r="B719" s="24"/>
      <c r="C719" s="24"/>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 r="A720" s="13"/>
      <c r="B720" s="24"/>
      <c r="C720" s="24"/>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 r="A721" s="13"/>
      <c r="B721" s="24"/>
      <c r="C721" s="24"/>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 r="A722" s="13"/>
      <c r="B722" s="24"/>
      <c r="C722" s="24"/>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 r="A723" s="13"/>
      <c r="B723" s="24"/>
      <c r="C723" s="24"/>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 r="A724" s="13"/>
      <c r="B724" s="24"/>
      <c r="C724" s="24"/>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 r="A725" s="13"/>
      <c r="B725" s="24"/>
      <c r="C725" s="24"/>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 r="A726" s="13"/>
      <c r="B726" s="24"/>
      <c r="C726" s="24"/>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 r="A727" s="13"/>
      <c r="B727" s="24"/>
      <c r="C727" s="24"/>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 r="A728" s="13"/>
      <c r="B728" s="24"/>
      <c r="C728" s="24"/>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 r="A729" s="13"/>
      <c r="B729" s="24"/>
      <c r="C729" s="24"/>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 r="A730" s="13"/>
      <c r="B730" s="24"/>
      <c r="C730" s="24"/>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 r="A731" s="13"/>
      <c r="B731" s="24"/>
      <c r="C731" s="24"/>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 r="A732" s="13"/>
      <c r="B732" s="24"/>
      <c r="C732" s="24"/>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 r="A733" s="13"/>
      <c r="B733" s="24"/>
      <c r="C733" s="24"/>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 r="A734" s="13"/>
      <c r="B734" s="24"/>
      <c r="C734" s="24"/>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 r="A735" s="13"/>
      <c r="B735" s="24"/>
      <c r="C735" s="24"/>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 r="A736" s="13"/>
      <c r="B736" s="24"/>
      <c r="C736" s="24"/>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 r="A737" s="13"/>
      <c r="B737" s="24"/>
      <c r="C737" s="24"/>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 r="A738" s="13"/>
      <c r="B738" s="24"/>
      <c r="C738" s="24"/>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 r="A739" s="13"/>
      <c r="B739" s="24"/>
      <c r="C739" s="24"/>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 r="A740" s="13"/>
      <c r="B740" s="24"/>
      <c r="C740" s="24"/>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 r="A741" s="13"/>
      <c r="B741" s="24"/>
      <c r="C741" s="24"/>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 r="A742" s="13"/>
      <c r="B742" s="24"/>
      <c r="C742" s="24"/>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 r="A743" s="13"/>
      <c r="B743" s="24"/>
      <c r="C743" s="24"/>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 r="A744" s="13"/>
      <c r="B744" s="24"/>
      <c r="C744" s="24"/>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 r="A745" s="13"/>
      <c r="B745" s="24"/>
      <c r="C745" s="24"/>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 r="A746" s="13"/>
      <c r="B746" s="24"/>
      <c r="C746" s="24"/>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 r="A747" s="13"/>
      <c r="B747" s="24"/>
      <c r="C747" s="24"/>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 r="A748" s="13"/>
      <c r="B748" s="24"/>
      <c r="C748" s="24"/>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 r="A749" s="13"/>
      <c r="B749" s="24"/>
      <c r="C749" s="24"/>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 r="A750" s="13"/>
      <c r="B750" s="24"/>
      <c r="C750" s="24"/>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 r="A751" s="13"/>
      <c r="B751" s="24"/>
      <c r="C751" s="24"/>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 r="A752" s="13"/>
      <c r="B752" s="24"/>
      <c r="C752" s="24"/>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 r="A753" s="13"/>
      <c r="B753" s="24"/>
      <c r="C753" s="24"/>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 r="A754" s="13"/>
      <c r="B754" s="24"/>
      <c r="C754" s="24"/>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 r="A755" s="13"/>
      <c r="B755" s="24"/>
      <c r="C755" s="24"/>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 r="A756" s="13"/>
      <c r="B756" s="24"/>
      <c r="C756" s="24"/>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 r="A757" s="13"/>
      <c r="B757" s="24"/>
      <c r="C757" s="24"/>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 r="A758" s="13"/>
      <c r="B758" s="24"/>
      <c r="C758" s="24"/>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 r="A759" s="13"/>
      <c r="B759" s="24"/>
      <c r="C759" s="24"/>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 r="A760" s="13"/>
      <c r="B760" s="24"/>
      <c r="C760" s="24"/>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 r="A761" s="13"/>
      <c r="B761" s="24"/>
      <c r="C761" s="24"/>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 r="A762" s="13"/>
      <c r="B762" s="24"/>
      <c r="C762" s="24"/>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 r="A763" s="13"/>
      <c r="B763" s="24"/>
      <c r="C763" s="24"/>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 r="A764" s="13"/>
      <c r="B764" s="24"/>
      <c r="C764" s="24"/>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 r="A765" s="13"/>
      <c r="B765" s="24"/>
      <c r="C765" s="24"/>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 r="A766" s="13"/>
      <c r="B766" s="24"/>
      <c r="C766" s="24"/>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 r="A767" s="13"/>
      <c r="B767" s="24"/>
      <c r="C767" s="24"/>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 r="A768" s="13"/>
      <c r="B768" s="24"/>
      <c r="C768" s="24"/>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 r="A769" s="13"/>
      <c r="B769" s="24"/>
      <c r="C769" s="24"/>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 r="A770" s="13"/>
      <c r="B770" s="24"/>
      <c r="C770" s="24"/>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 r="A771" s="13"/>
      <c r="B771" s="24"/>
      <c r="C771" s="24"/>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 r="A772" s="13"/>
      <c r="B772" s="24"/>
      <c r="C772" s="24"/>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 r="A773" s="13"/>
      <c r="B773" s="24"/>
      <c r="C773" s="24"/>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 r="A774" s="13"/>
      <c r="B774" s="24"/>
      <c r="C774" s="24"/>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 r="A775" s="13"/>
      <c r="B775" s="24"/>
      <c r="C775" s="24"/>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 r="A776" s="13"/>
      <c r="B776" s="24"/>
      <c r="C776" s="24"/>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 r="A777" s="13"/>
      <c r="B777" s="24"/>
      <c r="C777" s="24"/>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 r="A778" s="13"/>
      <c r="B778" s="24"/>
      <c r="C778" s="24"/>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 r="A779" s="13"/>
      <c r="B779" s="24"/>
      <c r="C779" s="24"/>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 r="A780" s="13"/>
      <c r="B780" s="24"/>
      <c r="C780" s="24"/>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 r="A781" s="13"/>
      <c r="B781" s="24"/>
      <c r="C781" s="24"/>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 r="A782" s="13"/>
      <c r="B782" s="24"/>
      <c r="C782" s="24"/>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 r="A783" s="13"/>
      <c r="B783" s="24"/>
      <c r="C783" s="24"/>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 r="A784" s="13"/>
      <c r="B784" s="24"/>
      <c r="C784" s="24"/>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 r="A785" s="13"/>
      <c r="B785" s="24"/>
      <c r="C785" s="24"/>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 r="A786" s="13"/>
      <c r="B786" s="24"/>
      <c r="C786" s="24"/>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 r="A787" s="13"/>
      <c r="B787" s="24"/>
      <c r="C787" s="24"/>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 r="A788" s="13"/>
      <c r="B788" s="24"/>
      <c r="C788" s="24"/>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 r="A789" s="13"/>
      <c r="B789" s="24"/>
      <c r="C789" s="24"/>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 r="A790" s="13"/>
      <c r="B790" s="24"/>
      <c r="C790" s="24"/>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 r="A791" s="13"/>
      <c r="B791" s="24"/>
      <c r="C791" s="24"/>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 r="A792" s="13"/>
      <c r="B792" s="24"/>
      <c r="C792" s="24"/>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 r="A793" s="13"/>
      <c r="B793" s="24"/>
      <c r="C793" s="24"/>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 r="A794" s="13"/>
      <c r="B794" s="24"/>
      <c r="C794" s="24"/>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 r="A795" s="13"/>
      <c r="B795" s="24"/>
      <c r="C795" s="24"/>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 r="A796" s="13"/>
      <c r="B796" s="24"/>
      <c r="C796" s="24"/>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 r="A797" s="13"/>
      <c r="B797" s="24"/>
      <c r="C797" s="24"/>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 r="A798" s="13"/>
      <c r="B798" s="24"/>
      <c r="C798" s="24"/>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 r="A799" s="13"/>
      <c r="B799" s="24"/>
      <c r="C799" s="24"/>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 r="A800" s="13"/>
      <c r="B800" s="24"/>
      <c r="C800" s="24"/>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 r="A801" s="13"/>
      <c r="B801" s="24"/>
      <c r="C801" s="24"/>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 r="A802" s="13"/>
      <c r="B802" s="24"/>
      <c r="C802" s="24"/>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 r="A803" s="13"/>
      <c r="B803" s="24"/>
      <c r="C803" s="24"/>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 r="A804" s="13"/>
      <c r="B804" s="24"/>
      <c r="C804" s="24"/>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 r="A805" s="13"/>
      <c r="B805" s="24"/>
      <c r="C805" s="24"/>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 r="A806" s="13"/>
      <c r="B806" s="24"/>
      <c r="C806" s="24"/>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 r="A807" s="13"/>
      <c r="B807" s="24"/>
      <c r="C807" s="24"/>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 r="A808" s="13"/>
      <c r="B808" s="24"/>
      <c r="C808" s="24"/>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 r="A809" s="13"/>
      <c r="B809" s="24"/>
      <c r="C809" s="24"/>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 r="A810" s="13"/>
      <c r="B810" s="24"/>
      <c r="C810" s="24"/>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 r="A811" s="13"/>
      <c r="B811" s="24"/>
      <c r="C811" s="24"/>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 r="A812" s="13"/>
      <c r="B812" s="24"/>
      <c r="C812" s="24"/>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 r="A813" s="13"/>
      <c r="B813" s="24"/>
      <c r="C813" s="24"/>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 r="A814" s="13"/>
      <c r="B814" s="24"/>
      <c r="C814" s="24"/>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 r="A815" s="13"/>
      <c r="B815" s="24"/>
      <c r="C815" s="24"/>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 r="A816" s="13"/>
      <c r="B816" s="24"/>
      <c r="C816" s="24"/>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 r="A817" s="13"/>
      <c r="B817" s="24"/>
      <c r="C817" s="24"/>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 r="A818" s="13"/>
      <c r="B818" s="24"/>
      <c r="C818" s="24"/>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 r="A819" s="13"/>
      <c r="B819" s="24"/>
      <c r="C819" s="24"/>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 r="A820" s="13"/>
      <c r="B820" s="24"/>
      <c r="C820" s="24"/>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 r="A821" s="13"/>
      <c r="B821" s="24"/>
      <c r="C821" s="24"/>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 r="A822" s="13"/>
      <c r="B822" s="24"/>
      <c r="C822" s="24"/>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 r="A823" s="13"/>
      <c r="B823" s="24"/>
      <c r="C823" s="24"/>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 r="A824" s="13"/>
      <c r="B824" s="24"/>
      <c r="C824" s="24"/>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 r="A825" s="13"/>
      <c r="B825" s="24"/>
      <c r="C825" s="24"/>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 r="A826" s="13"/>
      <c r="B826" s="24"/>
      <c r="C826" s="24"/>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 r="A827" s="13"/>
      <c r="B827" s="24"/>
      <c r="C827" s="24"/>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 r="A828" s="13"/>
      <c r="B828" s="24"/>
      <c r="C828" s="24"/>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 r="A829" s="13"/>
      <c r="B829" s="24"/>
      <c r="C829" s="24"/>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 r="A830" s="13"/>
      <c r="B830" s="24"/>
      <c r="C830" s="24"/>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 r="A831" s="13"/>
      <c r="B831" s="24"/>
      <c r="C831" s="24"/>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 r="A832" s="13"/>
      <c r="B832" s="24"/>
      <c r="C832" s="24"/>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 r="A833" s="13"/>
      <c r="B833" s="24"/>
      <c r="C833" s="24"/>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 r="A834" s="13"/>
      <c r="B834" s="24"/>
      <c r="C834" s="24"/>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 r="A835" s="13"/>
      <c r="B835" s="24"/>
      <c r="C835" s="24"/>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 r="A836" s="13"/>
      <c r="B836" s="24"/>
      <c r="C836" s="24"/>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 r="A837" s="13"/>
      <c r="B837" s="24"/>
      <c r="C837" s="24"/>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 r="A838" s="13"/>
      <c r="B838" s="24"/>
      <c r="C838" s="24"/>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 r="A839" s="13"/>
      <c r="B839" s="24"/>
      <c r="C839" s="24"/>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 r="A840" s="13"/>
      <c r="B840" s="24"/>
      <c r="C840" s="24"/>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 r="A841" s="13"/>
      <c r="B841" s="24"/>
      <c r="C841" s="24"/>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 r="A842" s="13"/>
      <c r="B842" s="24"/>
      <c r="C842" s="24"/>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 r="A843" s="13"/>
      <c r="B843" s="24"/>
      <c r="C843" s="24"/>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 r="A844" s="13"/>
      <c r="B844" s="24"/>
      <c r="C844" s="24"/>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 r="A845" s="13"/>
      <c r="B845" s="24"/>
      <c r="C845" s="24"/>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 r="A846" s="13"/>
      <c r="B846" s="24"/>
      <c r="C846" s="24"/>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 r="A847" s="13"/>
      <c r="B847" s="24"/>
      <c r="C847" s="24"/>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 r="A848" s="13"/>
      <c r="B848" s="24"/>
      <c r="C848" s="24"/>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 r="A849" s="13"/>
      <c r="B849" s="24"/>
      <c r="C849" s="24"/>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 r="A850" s="13"/>
      <c r="B850" s="24"/>
      <c r="C850" s="24"/>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 r="A851" s="13"/>
      <c r="B851" s="24"/>
      <c r="C851" s="24"/>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 r="A852" s="13"/>
      <c r="B852" s="24"/>
      <c r="C852" s="24"/>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 r="A853" s="13"/>
      <c r="B853" s="24"/>
      <c r="C853" s="24"/>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 r="A854" s="13"/>
      <c r="B854" s="24"/>
      <c r="C854" s="24"/>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 r="A855" s="13"/>
      <c r="B855" s="24"/>
      <c r="C855" s="24"/>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 r="A856" s="13"/>
      <c r="B856" s="24"/>
      <c r="C856" s="24"/>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 r="A857" s="13"/>
      <c r="B857" s="24"/>
      <c r="C857" s="24"/>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 r="A858" s="13"/>
      <c r="B858" s="24"/>
      <c r="C858" s="24"/>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 r="A859" s="13"/>
      <c r="B859" s="24"/>
      <c r="C859" s="24"/>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 r="A860" s="13"/>
      <c r="B860" s="24"/>
      <c r="C860" s="24"/>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 r="A861" s="13"/>
      <c r="B861" s="24"/>
      <c r="C861" s="24"/>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 r="A862" s="13"/>
      <c r="B862" s="24"/>
      <c r="C862" s="24"/>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 r="A863" s="13"/>
      <c r="B863" s="24"/>
      <c r="C863" s="24"/>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 r="A864" s="13"/>
      <c r="B864" s="24"/>
      <c r="C864" s="24"/>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 r="A865" s="13"/>
      <c r="B865" s="24"/>
      <c r="C865" s="24"/>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 r="A866" s="13"/>
      <c r="B866" s="24"/>
      <c r="C866" s="24"/>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 r="A867" s="13"/>
      <c r="B867" s="24"/>
      <c r="C867" s="24"/>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 r="A868" s="13"/>
      <c r="B868" s="24"/>
      <c r="C868" s="24"/>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 r="A869" s="13"/>
      <c r="B869" s="24"/>
      <c r="C869" s="24"/>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 r="A870" s="13"/>
      <c r="B870" s="24"/>
      <c r="C870" s="24"/>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 r="A871" s="13"/>
      <c r="B871" s="24"/>
      <c r="C871" s="24"/>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 r="A872" s="13"/>
      <c r="B872" s="24"/>
      <c r="C872" s="24"/>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 r="A873" s="13"/>
      <c r="B873" s="24"/>
      <c r="C873" s="24"/>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 r="A874" s="13"/>
      <c r="B874" s="24"/>
      <c r="C874" s="24"/>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 r="A875" s="13"/>
      <c r="B875" s="24"/>
      <c r="C875" s="24"/>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 r="A876" s="13"/>
      <c r="B876" s="24"/>
      <c r="C876" s="24"/>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 r="A877" s="13"/>
      <c r="B877" s="24"/>
      <c r="C877" s="24"/>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 r="A878" s="13"/>
      <c r="B878" s="24"/>
      <c r="C878" s="24"/>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 r="A879" s="13"/>
      <c r="B879" s="24"/>
      <c r="C879" s="24"/>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 r="A880" s="13"/>
      <c r="B880" s="24"/>
      <c r="C880" s="24"/>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 r="A881" s="13"/>
      <c r="B881" s="24"/>
      <c r="C881" s="24"/>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 r="A882" s="13"/>
      <c r="B882" s="24"/>
      <c r="C882" s="24"/>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 r="A883" s="13"/>
      <c r="B883" s="24"/>
      <c r="C883" s="24"/>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 r="A884" s="13"/>
      <c r="B884" s="24"/>
      <c r="C884" s="24"/>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 r="A885" s="13"/>
      <c r="B885" s="24"/>
      <c r="C885" s="24"/>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 r="A886" s="13"/>
      <c r="B886" s="24"/>
      <c r="C886" s="24"/>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 r="A887" s="13"/>
      <c r="B887" s="24"/>
      <c r="C887" s="24"/>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 r="A888" s="13"/>
      <c r="B888" s="24"/>
      <c r="C888" s="24"/>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 r="A889" s="13"/>
      <c r="B889" s="24"/>
      <c r="C889" s="24"/>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 r="A890" s="13"/>
      <c r="B890" s="24"/>
      <c r="C890" s="24"/>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 r="A891" s="13"/>
      <c r="B891" s="24"/>
      <c r="C891" s="24"/>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 r="A892" s="13"/>
      <c r="B892" s="24"/>
      <c r="C892" s="24"/>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 r="A893" s="13"/>
      <c r="B893" s="24"/>
      <c r="C893" s="24"/>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 r="A894" s="13"/>
      <c r="B894" s="24"/>
      <c r="C894" s="24"/>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 r="A895" s="13"/>
      <c r="B895" s="24"/>
      <c r="C895" s="24"/>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 r="A896" s="13"/>
      <c r="B896" s="24"/>
      <c r="C896" s="24"/>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 r="A897" s="13"/>
      <c r="B897" s="24"/>
      <c r="C897" s="24"/>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 r="A898" s="13"/>
      <c r="B898" s="24"/>
      <c r="C898" s="24"/>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 r="A899" s="13"/>
      <c r="B899" s="24"/>
      <c r="C899" s="24"/>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 r="A900" s="13"/>
      <c r="B900" s="24"/>
      <c r="C900" s="24"/>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 r="A901" s="13"/>
      <c r="B901" s="24"/>
      <c r="C901" s="24"/>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 r="A902" s="13"/>
      <c r="B902" s="24"/>
      <c r="C902" s="24"/>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 r="A903" s="13"/>
      <c r="B903" s="24"/>
      <c r="C903" s="24"/>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 r="A904" s="13"/>
      <c r="B904" s="24"/>
      <c r="C904" s="24"/>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 r="A905" s="13"/>
      <c r="B905" s="24"/>
      <c r="C905" s="24"/>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 r="A906" s="13"/>
      <c r="B906" s="24"/>
      <c r="C906" s="24"/>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 r="A907" s="13"/>
      <c r="B907" s="24"/>
      <c r="C907" s="24"/>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 r="A908" s="13"/>
      <c r="B908" s="24"/>
      <c r="C908" s="24"/>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 r="A909" s="13"/>
      <c r="B909" s="24"/>
      <c r="C909" s="24"/>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 r="A910" s="13"/>
      <c r="B910" s="24"/>
      <c r="C910" s="24"/>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 r="A911" s="13"/>
      <c r="B911" s="24"/>
      <c r="C911" s="24"/>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 r="A912" s="13"/>
      <c r="B912" s="24"/>
      <c r="C912" s="24"/>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 r="A913" s="13"/>
      <c r="B913" s="24"/>
      <c r="C913" s="24"/>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 r="A914" s="13"/>
      <c r="B914" s="24"/>
      <c r="C914" s="24"/>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 r="A915" s="13"/>
      <c r="B915" s="24"/>
      <c r="C915" s="24"/>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 r="A916" s="13"/>
      <c r="B916" s="24"/>
      <c r="C916" s="24"/>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 r="A917" s="13"/>
      <c r="B917" s="24"/>
      <c r="C917" s="24"/>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 r="A918" s="13"/>
      <c r="B918" s="24"/>
      <c r="C918" s="24"/>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 r="A919" s="13"/>
      <c r="B919" s="24"/>
      <c r="C919" s="24"/>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 r="A920" s="13"/>
      <c r="B920" s="24"/>
      <c r="C920" s="24"/>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 r="A921" s="13"/>
      <c r="B921" s="24"/>
      <c r="C921" s="24"/>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 r="A922" s="13"/>
      <c r="B922" s="24"/>
      <c r="C922" s="24"/>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 r="A923" s="13"/>
      <c r="B923" s="24"/>
      <c r="C923" s="24"/>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 r="A924" s="13"/>
      <c r="B924" s="24"/>
      <c r="C924" s="24"/>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 r="A925" s="13"/>
      <c r="B925" s="24"/>
      <c r="C925" s="24"/>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 r="A926" s="13"/>
      <c r="B926" s="24"/>
      <c r="C926" s="24"/>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 r="A927" s="13"/>
      <c r="B927" s="24"/>
      <c r="C927" s="24"/>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 r="A928" s="13"/>
      <c r="B928" s="24"/>
      <c r="C928" s="24"/>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 r="A929" s="13"/>
      <c r="B929" s="24"/>
      <c r="C929" s="24"/>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 r="A930" s="13"/>
      <c r="B930" s="24"/>
      <c r="C930" s="24"/>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 r="A931" s="13"/>
      <c r="B931" s="24"/>
      <c r="C931" s="24"/>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 r="A932" s="13"/>
      <c r="B932" s="24"/>
      <c r="C932" s="24"/>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 r="A933" s="13"/>
      <c r="B933" s="24"/>
      <c r="C933" s="24"/>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 r="A934" s="13"/>
      <c r="B934" s="24"/>
      <c r="C934" s="24"/>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 r="A935" s="13"/>
      <c r="B935" s="24"/>
      <c r="C935" s="24"/>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 r="A936" s="13"/>
      <c r="B936" s="24"/>
      <c r="C936" s="24"/>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 r="A937" s="13"/>
      <c r="B937" s="24"/>
      <c r="C937" s="24"/>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 r="A938" s="13"/>
      <c r="B938" s="24"/>
      <c r="C938" s="24"/>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 r="A939" s="13"/>
      <c r="B939" s="24"/>
      <c r="C939" s="24"/>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 r="A940" s="13"/>
      <c r="B940" s="24"/>
      <c r="C940" s="24"/>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 r="A941" s="13"/>
      <c r="B941" s="24"/>
      <c r="C941" s="24"/>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 r="A942" s="13"/>
      <c r="B942" s="24"/>
      <c r="C942" s="24"/>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 r="A943" s="13"/>
      <c r="B943" s="24"/>
      <c r="C943" s="24"/>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 r="A944" s="13"/>
      <c r="B944" s="24"/>
      <c r="C944" s="24"/>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 r="A945" s="13"/>
      <c r="B945" s="24"/>
      <c r="C945" s="24"/>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 r="A946" s="13"/>
      <c r="B946" s="24"/>
      <c r="C946" s="24"/>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 r="A947" s="13"/>
      <c r="B947" s="24"/>
      <c r="C947" s="24"/>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 r="A948" s="13"/>
      <c r="B948" s="24"/>
      <c r="C948" s="24"/>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 r="A949" s="13"/>
      <c r="B949" s="24"/>
      <c r="C949" s="24"/>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 r="A950" s="13"/>
      <c r="B950" s="24"/>
      <c r="C950" s="24"/>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 r="A951" s="13"/>
      <c r="B951" s="24"/>
      <c r="C951" s="24"/>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 r="A952" s="13"/>
      <c r="B952" s="24"/>
      <c r="C952" s="24"/>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 r="A953" s="13"/>
      <c r="B953" s="24"/>
      <c r="C953" s="24"/>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 r="A954" s="13"/>
      <c r="B954" s="24"/>
      <c r="C954" s="24"/>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 r="A955" s="13"/>
      <c r="B955" s="24"/>
      <c r="C955" s="24"/>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 r="A956" s="13"/>
      <c r="B956" s="24"/>
      <c r="C956" s="24"/>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 r="A957" s="13"/>
      <c r="B957" s="24"/>
      <c r="C957" s="24"/>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 r="A958" s="13"/>
      <c r="B958" s="24"/>
      <c r="C958" s="24"/>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 r="A959" s="13"/>
      <c r="B959" s="24"/>
      <c r="C959" s="24"/>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 r="A960" s="13"/>
      <c r="B960" s="24"/>
      <c r="C960" s="24"/>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 r="A961" s="13"/>
      <c r="B961" s="24"/>
      <c r="C961" s="24"/>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 r="A962" s="13"/>
      <c r="B962" s="24"/>
      <c r="C962" s="24"/>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 r="A963" s="13"/>
      <c r="B963" s="24"/>
      <c r="C963" s="24"/>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 r="A964" s="13"/>
      <c r="B964" s="24"/>
      <c r="C964" s="24"/>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 r="A965" s="13"/>
      <c r="B965" s="24"/>
      <c r="C965" s="24"/>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 r="A966" s="13"/>
      <c r="B966" s="24"/>
      <c r="C966" s="24"/>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 r="A967" s="13"/>
      <c r="B967" s="24"/>
      <c r="C967" s="24"/>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 r="A968" s="13"/>
      <c r="B968" s="24"/>
      <c r="C968" s="24"/>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 r="A969" s="13"/>
      <c r="B969" s="24"/>
      <c r="C969" s="24"/>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 r="A970" s="13"/>
      <c r="B970" s="24"/>
      <c r="C970" s="24"/>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 r="A971" s="13"/>
      <c r="B971" s="24"/>
      <c r="C971" s="24"/>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 r="A972" s="13"/>
      <c r="B972" s="24"/>
      <c r="C972" s="24"/>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 r="A973" s="13"/>
      <c r="B973" s="24"/>
      <c r="C973" s="24"/>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 r="A974" s="13"/>
      <c r="B974" s="24"/>
      <c r="C974" s="24"/>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 r="A975" s="13"/>
      <c r="B975" s="24"/>
      <c r="C975" s="24"/>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 r="A976" s="13"/>
      <c r="B976" s="24"/>
      <c r="C976" s="24"/>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 r="A977" s="13"/>
      <c r="B977" s="24"/>
      <c r="C977" s="24"/>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 r="A978" s="13"/>
      <c r="B978" s="24"/>
      <c r="C978" s="24"/>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 r="A979" s="13"/>
      <c r="B979" s="24"/>
      <c r="C979" s="24"/>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 r="A980" s="13"/>
      <c r="B980" s="24"/>
      <c r="C980" s="24"/>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 r="A981" s="13"/>
      <c r="B981" s="24"/>
      <c r="C981" s="24"/>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 r="A982" s="13"/>
      <c r="B982" s="24"/>
      <c r="C982" s="24"/>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 r="A983" s="13"/>
      <c r="B983" s="24"/>
      <c r="C983" s="24"/>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 r="A984" s="13"/>
      <c r="B984" s="24"/>
      <c r="C984" s="24"/>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 r="A985" s="13"/>
      <c r="B985" s="24"/>
      <c r="C985" s="24"/>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 r="A986" s="13"/>
      <c r="B986" s="24"/>
      <c r="C986" s="24"/>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 r="A987" s="13"/>
      <c r="B987" s="24"/>
      <c r="C987" s="24"/>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 r="A988" s="13"/>
      <c r="B988" s="24"/>
      <c r="C988" s="24"/>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 r="A989" s="13"/>
      <c r="B989" s="24"/>
      <c r="C989" s="24"/>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 r="A990" s="13"/>
      <c r="B990" s="24"/>
      <c r="C990" s="24"/>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 r="A991" s="13"/>
      <c r="B991" s="24"/>
      <c r="C991" s="24"/>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 r="A992" s="13"/>
      <c r="B992" s="24"/>
      <c r="C992" s="24"/>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 r="A993" s="13"/>
      <c r="B993" s="24"/>
      <c r="C993" s="24"/>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 r="A994" s="13"/>
      <c r="B994" s="24"/>
      <c r="C994" s="24"/>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 r="A995" s="13"/>
      <c r="B995" s="24"/>
      <c r="C995" s="24"/>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 r="A996" s="13"/>
      <c r="B996" s="24"/>
      <c r="C996" s="24"/>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 r="A997" s="13"/>
      <c r="B997" s="24"/>
      <c r="C997" s="24"/>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 r="A998" s="13"/>
      <c r="B998" s="24"/>
      <c r="C998" s="24"/>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 r="A999" s="13"/>
      <c r="B999" s="24"/>
      <c r="C999" s="24"/>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5"/>
  <sheetViews>
    <sheetView workbookViewId="0">
      <pane ySplit="1" topLeftCell="A2" activePane="bottomLeft" state="frozen"/>
      <selection pane="bottomLeft" activeCell="B3" sqref="B3"/>
    </sheetView>
  </sheetViews>
  <sheetFormatPr defaultColWidth="12.6328125" defaultRowHeight="15.75" customHeight="1"/>
  <cols>
    <col min="1" max="1" width="4.7265625" customWidth="1"/>
    <col min="2" max="2" width="10.90625" customWidth="1"/>
    <col min="3" max="4" width="44.26953125" customWidth="1"/>
  </cols>
  <sheetData>
    <row r="1" spans="1:4" ht="15.75" customHeight="1">
      <c r="A1" s="8" t="s">
        <v>430</v>
      </c>
      <c r="B1" s="8" t="s">
        <v>0</v>
      </c>
      <c r="C1" s="8" t="s">
        <v>844</v>
      </c>
      <c r="D1" s="8" t="s">
        <v>435</v>
      </c>
    </row>
    <row r="2" spans="1:4" ht="15.75" customHeight="1">
      <c r="A2" s="8">
        <v>2024</v>
      </c>
      <c r="B2" s="8" t="s">
        <v>845</v>
      </c>
      <c r="C2" s="8" t="s">
        <v>846</v>
      </c>
      <c r="D2" s="8"/>
    </row>
    <row r="3" spans="1:4" ht="15.75" customHeight="1">
      <c r="A3" s="8">
        <v>2024</v>
      </c>
      <c r="B3" s="8" t="s">
        <v>391</v>
      </c>
      <c r="C3" s="8" t="s">
        <v>847</v>
      </c>
      <c r="D3" s="8"/>
    </row>
    <row r="4" spans="1:4" ht="15.75" customHeight="1">
      <c r="A4" s="8">
        <v>2024</v>
      </c>
      <c r="B4" s="8" t="s">
        <v>848</v>
      </c>
      <c r="C4" s="8" t="s">
        <v>849</v>
      </c>
      <c r="D4" s="16" t="s">
        <v>850</v>
      </c>
    </row>
    <row r="5" spans="1:4" ht="15.75" customHeight="1">
      <c r="A5" s="8">
        <v>2023</v>
      </c>
      <c r="B5" s="8" t="s">
        <v>851</v>
      </c>
      <c r="C5" s="8" t="s">
        <v>852</v>
      </c>
      <c r="D5" s="16" t="s">
        <v>853</v>
      </c>
    </row>
    <row r="6" spans="1:4" ht="15.75" customHeight="1">
      <c r="A6" s="8">
        <v>2023</v>
      </c>
      <c r="B6" s="8" t="s">
        <v>854</v>
      </c>
      <c r="C6" s="8" t="s">
        <v>855</v>
      </c>
      <c r="D6" s="16" t="s">
        <v>856</v>
      </c>
    </row>
    <row r="7" spans="1:4" ht="15.75" customHeight="1">
      <c r="A7" s="8">
        <v>2022</v>
      </c>
      <c r="B7" s="8" t="s">
        <v>854</v>
      </c>
      <c r="C7" s="8" t="s">
        <v>857</v>
      </c>
      <c r="D7" s="8"/>
    </row>
    <row r="8" spans="1:4" ht="15.75" customHeight="1">
      <c r="A8" s="8">
        <v>2022</v>
      </c>
      <c r="B8" s="8" t="s">
        <v>845</v>
      </c>
      <c r="C8" s="8" t="s">
        <v>858</v>
      </c>
      <c r="D8" s="8"/>
    </row>
    <row r="9" spans="1:4" ht="15.75" customHeight="1">
      <c r="A9" s="8">
        <v>2022</v>
      </c>
      <c r="B9" s="8" t="s">
        <v>848</v>
      </c>
      <c r="C9" s="8" t="s">
        <v>859</v>
      </c>
      <c r="D9" s="8"/>
    </row>
    <row r="10" spans="1:4" ht="15.75" customHeight="1">
      <c r="A10" s="8">
        <v>2022</v>
      </c>
      <c r="B10" s="8" t="s">
        <v>848</v>
      </c>
      <c r="C10" s="8" t="s">
        <v>860</v>
      </c>
      <c r="D10" s="8"/>
    </row>
    <row r="11" spans="1:4" ht="15.75" customHeight="1">
      <c r="A11" s="8">
        <v>2023</v>
      </c>
      <c r="B11" s="8" t="s">
        <v>848</v>
      </c>
      <c r="C11" s="8" t="s">
        <v>861</v>
      </c>
      <c r="D11" s="29" t="s">
        <v>862</v>
      </c>
    </row>
    <row r="12" spans="1:4" ht="15.75" customHeight="1">
      <c r="A12" s="8">
        <v>2020</v>
      </c>
      <c r="B12" s="8" t="s">
        <v>848</v>
      </c>
      <c r="C12" s="8" t="s">
        <v>863</v>
      </c>
      <c r="D12" s="8"/>
    </row>
    <row r="13" spans="1:4" ht="15.75" customHeight="1">
      <c r="A13" s="8">
        <v>2018</v>
      </c>
      <c r="B13" s="8" t="s">
        <v>845</v>
      </c>
      <c r="C13" s="8" t="s">
        <v>864</v>
      </c>
      <c r="D13" s="8"/>
    </row>
    <row r="14" spans="1:4" ht="15.75" customHeight="1">
      <c r="A14" s="8">
        <v>2017</v>
      </c>
      <c r="B14" s="8" t="s">
        <v>845</v>
      </c>
      <c r="C14" s="8" t="s">
        <v>865</v>
      </c>
      <c r="D14" s="8"/>
    </row>
    <row r="15" spans="1:4" ht="15.75" customHeight="1">
      <c r="A15" s="8">
        <v>2016</v>
      </c>
      <c r="B15" s="8" t="s">
        <v>845</v>
      </c>
      <c r="C15" s="8" t="s">
        <v>866</v>
      </c>
      <c r="D15" s="8"/>
    </row>
    <row r="16" spans="1:4" ht="15.75" customHeight="1">
      <c r="A16" s="8">
        <v>2014</v>
      </c>
      <c r="B16" s="8" t="s">
        <v>845</v>
      </c>
      <c r="C16" s="8" t="s">
        <v>867</v>
      </c>
      <c r="D16" s="8"/>
    </row>
    <row r="17" spans="1:4" ht="15.75" customHeight="1">
      <c r="A17" s="8">
        <v>2013</v>
      </c>
      <c r="B17" s="8" t="s">
        <v>845</v>
      </c>
      <c r="C17" s="8" t="s">
        <v>868</v>
      </c>
      <c r="D17" s="8"/>
    </row>
    <row r="18" spans="1:4" ht="15.75" customHeight="1">
      <c r="A18" s="8">
        <v>2002</v>
      </c>
      <c r="B18" s="8" t="s">
        <v>391</v>
      </c>
      <c r="C18" s="8" t="s">
        <v>869</v>
      </c>
      <c r="D18" s="8"/>
    </row>
    <row r="19" spans="1:4" ht="15.75" customHeight="1">
      <c r="A19" s="8">
        <v>2019</v>
      </c>
      <c r="B19" s="8" t="s">
        <v>870</v>
      </c>
      <c r="C19" s="8" t="s">
        <v>871</v>
      </c>
      <c r="D19" s="8"/>
    </row>
    <row r="20" spans="1:4" ht="15.75" customHeight="1">
      <c r="A20" s="8">
        <v>2014</v>
      </c>
      <c r="B20" s="8" t="s">
        <v>870</v>
      </c>
      <c r="C20" s="8" t="s">
        <v>872</v>
      </c>
      <c r="D20" s="8"/>
    </row>
    <row r="21" spans="1:4" ht="15.75" customHeight="1">
      <c r="A21" s="8">
        <v>2011</v>
      </c>
      <c r="B21" s="8" t="s">
        <v>870</v>
      </c>
      <c r="C21" s="8" t="s">
        <v>873</v>
      </c>
      <c r="D21" s="8"/>
    </row>
    <row r="22" spans="1:4" ht="15.75" customHeight="1">
      <c r="A22" s="8">
        <v>2010</v>
      </c>
      <c r="B22" s="8" t="s">
        <v>870</v>
      </c>
      <c r="C22" s="8" t="s">
        <v>874</v>
      </c>
      <c r="D22" s="8"/>
    </row>
    <row r="23" spans="1:4" ht="15.75" customHeight="1">
      <c r="A23" s="8">
        <v>2009</v>
      </c>
      <c r="B23" s="8" t="s">
        <v>870</v>
      </c>
      <c r="C23" s="8" t="s">
        <v>875</v>
      </c>
      <c r="D23" s="8"/>
    </row>
    <row r="24" spans="1:4" ht="15.75" customHeight="1">
      <c r="A24" s="8">
        <v>2007</v>
      </c>
      <c r="B24" s="8" t="s">
        <v>870</v>
      </c>
      <c r="C24" s="8" t="s">
        <v>876</v>
      </c>
      <c r="D24" s="8"/>
    </row>
    <row r="25" spans="1:4" ht="15.75" customHeight="1">
      <c r="A25" s="8">
        <v>2005</v>
      </c>
      <c r="B25" s="8" t="s">
        <v>870</v>
      </c>
      <c r="C25" s="8" t="s">
        <v>877</v>
      </c>
      <c r="D25" s="8"/>
    </row>
  </sheetData>
  <hyperlinks>
    <hyperlink ref="D4" r:id="rId1" xr:uid="{00000000-0004-0000-0500-000000000000}"/>
    <hyperlink ref="D5" r:id="rId2" xr:uid="{00000000-0004-0000-0500-000001000000}"/>
    <hyperlink ref="D6" r:id="rId3" xr:uid="{00000000-0004-0000-0500-000002000000}"/>
    <hyperlink ref="D11" r:id="rId4" xr:uid="{00000000-0004-0000-05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6"/>
  <sheetViews>
    <sheetView workbookViewId="0"/>
  </sheetViews>
  <sheetFormatPr defaultColWidth="12.6328125" defaultRowHeight="15.75" customHeight="1"/>
  <cols>
    <col min="3" max="3" width="15.36328125" customWidth="1"/>
    <col min="4" max="4" width="31.26953125" customWidth="1"/>
    <col min="5" max="5" width="5.453125" customWidth="1"/>
    <col min="6" max="6" width="8.7265625" customWidth="1"/>
    <col min="7" max="7" width="6.90625" customWidth="1"/>
    <col min="8" max="8" width="8.7265625" customWidth="1"/>
    <col min="9" max="9" width="9.36328125" customWidth="1"/>
  </cols>
  <sheetData>
    <row r="1" spans="1:9" ht="15.75" customHeight="1">
      <c r="A1" s="13" t="s">
        <v>616</v>
      </c>
      <c r="B1" s="13" t="s">
        <v>878</v>
      </c>
      <c r="C1" s="13" t="s">
        <v>9</v>
      </c>
      <c r="D1" s="13" t="s">
        <v>879</v>
      </c>
      <c r="E1" s="13" t="s">
        <v>880</v>
      </c>
      <c r="F1" s="30" t="s">
        <v>881</v>
      </c>
      <c r="G1" s="30" t="s">
        <v>882</v>
      </c>
      <c r="H1" s="30" t="s">
        <v>883</v>
      </c>
      <c r="I1" s="30" t="s">
        <v>884</v>
      </c>
    </row>
    <row r="2" spans="1:9" ht="15.75" customHeight="1">
      <c r="A2" s="13" t="s">
        <v>885</v>
      </c>
      <c r="B2" s="13" t="s">
        <v>886</v>
      </c>
      <c r="C2" s="13" t="s">
        <v>887</v>
      </c>
      <c r="D2" s="13" t="s">
        <v>888</v>
      </c>
      <c r="E2" s="13" t="s">
        <v>889</v>
      </c>
      <c r="F2" s="31">
        <v>13</v>
      </c>
      <c r="G2" s="31">
        <v>18</v>
      </c>
      <c r="H2" s="31">
        <v>5</v>
      </c>
      <c r="I2" s="31">
        <v>4.3</v>
      </c>
    </row>
    <row r="3" spans="1:9" ht="15.75" customHeight="1">
      <c r="A3" s="13" t="s">
        <v>885</v>
      </c>
      <c r="B3" s="13" t="s">
        <v>890</v>
      </c>
      <c r="C3" s="13" t="s">
        <v>891</v>
      </c>
      <c r="D3" s="13" t="s">
        <v>892</v>
      </c>
      <c r="E3" s="13" t="s">
        <v>893</v>
      </c>
      <c r="F3" s="31">
        <v>16</v>
      </c>
      <c r="G3" s="31">
        <v>23</v>
      </c>
      <c r="H3" s="31">
        <v>5</v>
      </c>
      <c r="I3" s="31">
        <v>4.3</v>
      </c>
    </row>
    <row r="4" spans="1:9" ht="15.75" customHeight="1">
      <c r="A4" s="13" t="s">
        <v>885</v>
      </c>
      <c r="B4" s="13" t="s">
        <v>894</v>
      </c>
      <c r="C4" s="13" t="s">
        <v>895</v>
      </c>
      <c r="D4" s="13" t="s">
        <v>896</v>
      </c>
      <c r="E4" s="13" t="s">
        <v>893</v>
      </c>
      <c r="F4" s="30"/>
      <c r="G4" s="31">
        <v>21</v>
      </c>
      <c r="H4" s="30"/>
      <c r="I4" s="30"/>
    </row>
    <row r="5" spans="1:9" ht="15.75" customHeight="1">
      <c r="A5" s="13" t="s">
        <v>885</v>
      </c>
      <c r="B5" s="13" t="s">
        <v>897</v>
      </c>
      <c r="C5" s="13" t="s">
        <v>898</v>
      </c>
      <c r="D5" s="13" t="s">
        <v>892</v>
      </c>
      <c r="E5" s="13" t="s">
        <v>893</v>
      </c>
      <c r="F5" s="31">
        <v>9</v>
      </c>
      <c r="G5" s="31">
        <v>18</v>
      </c>
      <c r="H5" s="31">
        <v>4.8</v>
      </c>
      <c r="I5" s="31">
        <v>4.4000000000000004</v>
      </c>
    </row>
    <row r="6" spans="1:9" ht="15.75" customHeight="1">
      <c r="A6" s="13" t="s">
        <v>885</v>
      </c>
      <c r="B6" s="13" t="s">
        <v>899</v>
      </c>
      <c r="C6" s="13" t="s">
        <v>900</v>
      </c>
      <c r="D6" s="13" t="s">
        <v>896</v>
      </c>
      <c r="E6" s="13" t="s">
        <v>893</v>
      </c>
      <c r="F6" s="31">
        <v>13</v>
      </c>
      <c r="G6" s="31">
        <v>22</v>
      </c>
      <c r="H6" s="31">
        <v>5</v>
      </c>
      <c r="I6" s="31">
        <v>4.4000000000000004</v>
      </c>
    </row>
    <row r="7" spans="1:9" ht="15.75" customHeight="1">
      <c r="A7" s="13" t="s">
        <v>885</v>
      </c>
      <c r="B7" s="13" t="s">
        <v>901</v>
      </c>
      <c r="C7" s="13" t="s">
        <v>887</v>
      </c>
      <c r="D7" s="13" t="s">
        <v>888</v>
      </c>
      <c r="E7" s="13" t="s">
        <v>889</v>
      </c>
      <c r="F7" s="31">
        <v>18</v>
      </c>
      <c r="G7" s="31">
        <v>21</v>
      </c>
      <c r="H7" s="31">
        <v>4.9000000000000004</v>
      </c>
      <c r="I7" s="31">
        <v>4.4000000000000004</v>
      </c>
    </row>
    <row r="8" spans="1:9" ht="15.75" customHeight="1">
      <c r="A8" s="13" t="s">
        <v>885</v>
      </c>
      <c r="B8" s="13" t="s">
        <v>902</v>
      </c>
      <c r="C8" s="13" t="s">
        <v>903</v>
      </c>
      <c r="D8" s="13" t="s">
        <v>892</v>
      </c>
      <c r="E8" s="13" t="s">
        <v>904</v>
      </c>
      <c r="F8" s="30">
        <v>24</v>
      </c>
      <c r="G8" s="31">
        <v>32</v>
      </c>
      <c r="H8" s="32">
        <v>4.9000000000000004</v>
      </c>
      <c r="I8" s="32">
        <v>4.4000000000000004</v>
      </c>
    </row>
    <row r="9" spans="1:9" ht="15.75" customHeight="1">
      <c r="A9" s="13" t="s">
        <v>885</v>
      </c>
      <c r="B9" s="13" t="s">
        <v>905</v>
      </c>
      <c r="C9" s="13" t="s">
        <v>906</v>
      </c>
      <c r="D9" s="13" t="s">
        <v>896</v>
      </c>
      <c r="E9" s="13" t="s">
        <v>904</v>
      </c>
      <c r="F9" s="30">
        <v>24</v>
      </c>
      <c r="G9" s="30">
        <v>28</v>
      </c>
      <c r="H9" s="32">
        <v>5</v>
      </c>
      <c r="I9" s="32">
        <v>4.5</v>
      </c>
    </row>
    <row r="10" spans="1:9" ht="15.75" customHeight="1">
      <c r="A10" s="13" t="s">
        <v>885</v>
      </c>
      <c r="B10" s="13" t="s">
        <v>905</v>
      </c>
      <c r="C10" s="13" t="s">
        <v>887</v>
      </c>
      <c r="D10" s="13" t="s">
        <v>888</v>
      </c>
      <c r="E10" s="13" t="s">
        <v>889</v>
      </c>
      <c r="F10" s="30">
        <v>18</v>
      </c>
      <c r="G10" s="30">
        <v>20</v>
      </c>
      <c r="H10" s="32">
        <v>4.9000000000000004</v>
      </c>
      <c r="I10" s="32">
        <v>4.5</v>
      </c>
    </row>
    <row r="11" spans="1:9" ht="15.75" customHeight="1">
      <c r="A11" s="13" t="s">
        <v>885</v>
      </c>
      <c r="B11" s="13" t="s">
        <v>907</v>
      </c>
      <c r="C11" s="13" t="s">
        <v>903</v>
      </c>
      <c r="D11" s="13" t="s">
        <v>892</v>
      </c>
      <c r="E11" s="13" t="s">
        <v>904</v>
      </c>
      <c r="F11" s="30">
        <v>24</v>
      </c>
      <c r="G11" s="31">
        <v>31</v>
      </c>
      <c r="H11" s="30">
        <v>5</v>
      </c>
      <c r="I11" s="30">
        <v>4.4000000000000004</v>
      </c>
    </row>
    <row r="12" spans="1:9" ht="15.75" customHeight="1">
      <c r="A12" s="13" t="s">
        <v>885</v>
      </c>
      <c r="B12" s="13" t="s">
        <v>908</v>
      </c>
      <c r="C12" s="13" t="s">
        <v>906</v>
      </c>
      <c r="D12" s="13" t="s">
        <v>896</v>
      </c>
      <c r="E12" s="13" t="s">
        <v>904</v>
      </c>
      <c r="F12" s="30">
        <v>20</v>
      </c>
      <c r="G12" s="31">
        <v>28</v>
      </c>
      <c r="H12" s="30">
        <v>4.9000000000000004</v>
      </c>
      <c r="I12" s="32">
        <v>4.5</v>
      </c>
    </row>
    <row r="13" spans="1:9" ht="15.75" customHeight="1">
      <c r="A13" s="13" t="s">
        <v>885</v>
      </c>
      <c r="B13" s="13" t="s">
        <v>908</v>
      </c>
      <c r="C13" s="13" t="s">
        <v>887</v>
      </c>
      <c r="D13" s="13" t="s">
        <v>888</v>
      </c>
      <c r="E13" s="13" t="s">
        <v>889</v>
      </c>
      <c r="F13" s="30">
        <v>17</v>
      </c>
      <c r="G13" s="31">
        <v>20</v>
      </c>
      <c r="H13" s="30">
        <v>4.5999999999999996</v>
      </c>
      <c r="I13" s="32">
        <v>4.5</v>
      </c>
    </row>
    <row r="14" spans="1:9" ht="15.75" customHeight="1">
      <c r="A14" s="13" t="s">
        <v>885</v>
      </c>
      <c r="B14" s="13" t="s">
        <v>909</v>
      </c>
      <c r="C14" s="13" t="s">
        <v>903</v>
      </c>
      <c r="D14" s="13" t="s">
        <v>892</v>
      </c>
      <c r="E14" s="13" t="s">
        <v>904</v>
      </c>
      <c r="F14" s="30">
        <v>19</v>
      </c>
      <c r="G14" s="31">
        <v>37</v>
      </c>
      <c r="H14" s="30">
        <v>5</v>
      </c>
      <c r="I14" s="30">
        <v>4.5</v>
      </c>
    </row>
    <row r="15" spans="1:9" ht="15.75" customHeight="1">
      <c r="A15" s="13" t="s">
        <v>885</v>
      </c>
      <c r="B15" s="13" t="s">
        <v>910</v>
      </c>
      <c r="C15" s="13" t="s">
        <v>906</v>
      </c>
      <c r="D15" s="13" t="s">
        <v>896</v>
      </c>
      <c r="E15" s="13" t="s">
        <v>904</v>
      </c>
      <c r="F15" s="31"/>
      <c r="G15" s="31">
        <v>26</v>
      </c>
      <c r="H15" s="31"/>
      <c r="I15" s="31"/>
    </row>
    <row r="16" spans="1:9" ht="15.75" customHeight="1">
      <c r="A16" s="13" t="s">
        <v>885</v>
      </c>
      <c r="B16" s="13" t="s">
        <v>910</v>
      </c>
      <c r="C16" s="13" t="s">
        <v>887</v>
      </c>
      <c r="D16" s="13" t="s">
        <v>888</v>
      </c>
      <c r="E16" s="13" t="s">
        <v>889</v>
      </c>
      <c r="F16" s="31"/>
      <c r="G16" s="31">
        <v>24</v>
      </c>
      <c r="H16" s="31"/>
      <c r="I16" s="3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25"/>
  <sheetViews>
    <sheetView workbookViewId="0">
      <pane ySplit="1" topLeftCell="A2" activePane="bottomLeft" state="frozen"/>
      <selection pane="bottomLeft" activeCell="B3" sqref="B3"/>
    </sheetView>
  </sheetViews>
  <sheetFormatPr defaultColWidth="12.6328125" defaultRowHeight="15.75" customHeight="1"/>
  <cols>
    <col min="1" max="1" width="10" customWidth="1"/>
    <col min="2" max="2" width="11.36328125" customWidth="1"/>
    <col min="3" max="3" width="41.7265625" customWidth="1"/>
    <col min="5" max="5" width="43.90625" customWidth="1"/>
    <col min="6" max="6" width="12.7265625" customWidth="1"/>
    <col min="7" max="7" width="42.26953125" customWidth="1"/>
  </cols>
  <sheetData>
    <row r="1" spans="1:7" ht="15.75" customHeight="1">
      <c r="A1" s="1" t="s">
        <v>0</v>
      </c>
      <c r="B1" s="18" t="s">
        <v>430</v>
      </c>
      <c r="C1" s="1" t="s">
        <v>7</v>
      </c>
      <c r="D1" s="1" t="s">
        <v>431</v>
      </c>
      <c r="E1" s="1" t="s">
        <v>433</v>
      </c>
      <c r="F1" s="1" t="s">
        <v>434</v>
      </c>
      <c r="G1" s="1" t="s">
        <v>435</v>
      </c>
    </row>
    <row r="2" spans="1:7" ht="15.75" customHeight="1">
      <c r="A2" s="2" t="s">
        <v>911</v>
      </c>
      <c r="B2" s="18">
        <v>41913</v>
      </c>
      <c r="C2" s="1" t="s">
        <v>455</v>
      </c>
      <c r="E2" s="1" t="s">
        <v>912</v>
      </c>
      <c r="F2" s="1" t="s">
        <v>438</v>
      </c>
      <c r="G2" s="1"/>
    </row>
    <row r="3" spans="1:7" ht="15.75" customHeight="1">
      <c r="A3" s="2" t="s">
        <v>911</v>
      </c>
      <c r="B3" s="18">
        <v>41944</v>
      </c>
      <c r="C3" s="1" t="s">
        <v>913</v>
      </c>
      <c r="E3" s="1" t="s">
        <v>914</v>
      </c>
      <c r="F3" s="1" t="s">
        <v>438</v>
      </c>
      <c r="G3" s="1"/>
    </row>
    <row r="4" spans="1:7" ht="15.75" customHeight="1">
      <c r="A4" s="2" t="s">
        <v>911</v>
      </c>
      <c r="B4" s="18">
        <v>42064</v>
      </c>
      <c r="C4" s="1" t="s">
        <v>915</v>
      </c>
      <c r="E4" s="1" t="s">
        <v>916</v>
      </c>
      <c r="F4" s="1" t="s">
        <v>438</v>
      </c>
      <c r="G4" s="1"/>
    </row>
    <row r="5" spans="1:7" ht="15.75" customHeight="1">
      <c r="A5" s="2" t="s">
        <v>911</v>
      </c>
      <c r="B5" s="18">
        <v>42675</v>
      </c>
      <c r="C5" s="1" t="s">
        <v>917</v>
      </c>
      <c r="E5" s="1" t="s">
        <v>918</v>
      </c>
      <c r="F5" s="1" t="s">
        <v>444</v>
      </c>
      <c r="G5" s="1"/>
    </row>
    <row r="6" spans="1:7" ht="15.75" customHeight="1">
      <c r="A6" s="2" t="s">
        <v>911</v>
      </c>
      <c r="B6" s="18">
        <v>42675</v>
      </c>
      <c r="C6" s="1" t="s">
        <v>919</v>
      </c>
      <c r="E6" s="1" t="s">
        <v>918</v>
      </c>
      <c r="F6" s="1" t="s">
        <v>444</v>
      </c>
      <c r="G6" s="1"/>
    </row>
    <row r="7" spans="1:7" ht="15.75" customHeight="1">
      <c r="A7" s="2" t="s">
        <v>911</v>
      </c>
      <c r="B7" s="18">
        <v>43040</v>
      </c>
      <c r="C7" s="1" t="s">
        <v>917</v>
      </c>
      <c r="E7" s="1" t="s">
        <v>920</v>
      </c>
      <c r="F7" s="1" t="s">
        <v>444</v>
      </c>
      <c r="G7" s="1"/>
    </row>
    <row r="8" spans="1:7" ht="15.75" customHeight="1">
      <c r="A8" s="2" t="s">
        <v>911</v>
      </c>
      <c r="B8" s="18">
        <v>43405</v>
      </c>
      <c r="C8" s="1" t="s">
        <v>921</v>
      </c>
      <c r="E8" s="1" t="s">
        <v>922</v>
      </c>
      <c r="F8" s="1" t="s">
        <v>454</v>
      </c>
      <c r="G8" s="1"/>
    </row>
    <row r="9" spans="1:7" ht="15.75" customHeight="1">
      <c r="A9" s="1" t="s">
        <v>911</v>
      </c>
      <c r="B9" s="18">
        <v>43777</v>
      </c>
      <c r="C9" s="1" t="s">
        <v>921</v>
      </c>
      <c r="E9" s="1" t="s">
        <v>923</v>
      </c>
      <c r="F9" s="1" t="s">
        <v>454</v>
      </c>
      <c r="G9" s="1"/>
    </row>
    <row r="10" spans="1:7" ht="15.75" customHeight="1">
      <c r="A10" s="1" t="s">
        <v>911</v>
      </c>
      <c r="B10" s="18">
        <v>44512</v>
      </c>
      <c r="C10" s="1" t="s">
        <v>924</v>
      </c>
      <c r="E10" s="1" t="s">
        <v>925</v>
      </c>
      <c r="F10" s="1" t="s">
        <v>454</v>
      </c>
      <c r="G10" s="1"/>
    </row>
    <row r="11" spans="1:7" ht="15.75" customHeight="1">
      <c r="A11" s="2" t="s">
        <v>926</v>
      </c>
      <c r="B11" s="18">
        <v>42795</v>
      </c>
      <c r="C11" s="1" t="s">
        <v>927</v>
      </c>
      <c r="D11" s="1"/>
      <c r="E11" s="1" t="s">
        <v>484</v>
      </c>
      <c r="F11" s="1" t="s">
        <v>522</v>
      </c>
      <c r="G11" s="1"/>
    </row>
    <row r="12" spans="1:7" ht="15.75" customHeight="1">
      <c r="A12" s="1" t="s">
        <v>926</v>
      </c>
      <c r="B12" s="18">
        <v>44106</v>
      </c>
      <c r="C12" s="1" t="s">
        <v>928</v>
      </c>
      <c r="D12" s="1"/>
      <c r="E12" s="1" t="s">
        <v>929</v>
      </c>
      <c r="F12" s="1" t="s">
        <v>454</v>
      </c>
      <c r="G12" s="4" t="s">
        <v>930</v>
      </c>
    </row>
    <row r="13" spans="1:7" ht="15.75" customHeight="1">
      <c r="A13" s="1" t="s">
        <v>926</v>
      </c>
      <c r="B13" s="18">
        <v>44155</v>
      </c>
      <c r="C13" s="1" t="s">
        <v>931</v>
      </c>
      <c r="D13" s="1"/>
      <c r="E13" s="1" t="s">
        <v>929</v>
      </c>
      <c r="F13" s="1" t="s">
        <v>454</v>
      </c>
      <c r="G13" s="4" t="s">
        <v>932</v>
      </c>
    </row>
    <row r="14" spans="1:7" ht="15.75" customHeight="1">
      <c r="A14" s="1" t="s">
        <v>926</v>
      </c>
      <c r="B14" s="18">
        <v>44169</v>
      </c>
      <c r="C14" s="1" t="s">
        <v>933</v>
      </c>
      <c r="D14" s="1"/>
      <c r="E14" s="1" t="s">
        <v>929</v>
      </c>
      <c r="F14" s="1" t="s">
        <v>454</v>
      </c>
      <c r="G14" s="5" t="s">
        <v>934</v>
      </c>
    </row>
    <row r="15" spans="1:7" ht="15.75" customHeight="1">
      <c r="A15" s="1" t="s">
        <v>926</v>
      </c>
      <c r="B15" s="18">
        <v>44246</v>
      </c>
      <c r="C15" s="1" t="s">
        <v>935</v>
      </c>
      <c r="D15" s="1"/>
      <c r="E15" s="1" t="s">
        <v>929</v>
      </c>
      <c r="F15" s="1" t="s">
        <v>454</v>
      </c>
      <c r="G15" s="5" t="s">
        <v>936</v>
      </c>
    </row>
    <row r="16" spans="1:7" ht="15.75" customHeight="1">
      <c r="A16" s="1" t="s">
        <v>926</v>
      </c>
      <c r="B16" s="18">
        <v>44482</v>
      </c>
      <c r="C16" s="1" t="s">
        <v>937</v>
      </c>
      <c r="D16" s="1"/>
      <c r="E16" s="1" t="s">
        <v>929</v>
      </c>
      <c r="F16" s="1" t="s">
        <v>454</v>
      </c>
      <c r="G16" s="5" t="s">
        <v>938</v>
      </c>
    </row>
    <row r="17" spans="1:7" ht="15.75" customHeight="1">
      <c r="A17" s="1" t="s">
        <v>926</v>
      </c>
      <c r="B17" s="18">
        <v>44586</v>
      </c>
      <c r="C17" s="1" t="s">
        <v>939</v>
      </c>
      <c r="D17" s="1"/>
      <c r="E17" s="1" t="s">
        <v>929</v>
      </c>
      <c r="F17" s="1" t="s">
        <v>454</v>
      </c>
      <c r="G17" s="4" t="s">
        <v>940</v>
      </c>
    </row>
    <row r="18" spans="1:7" ht="15.75" customHeight="1">
      <c r="A18" s="1" t="s">
        <v>926</v>
      </c>
      <c r="B18" s="18">
        <v>44960</v>
      </c>
      <c r="C18" s="1" t="s">
        <v>941</v>
      </c>
      <c r="D18" s="1"/>
      <c r="E18" s="1" t="s">
        <v>929</v>
      </c>
      <c r="F18" s="1" t="s">
        <v>454</v>
      </c>
      <c r="G18" s="4" t="s">
        <v>942</v>
      </c>
    </row>
    <row r="19" spans="1:7" ht="15.75" customHeight="1">
      <c r="A19" s="1" t="s">
        <v>926</v>
      </c>
      <c r="B19" s="18">
        <v>45316</v>
      </c>
      <c r="C19" s="1" t="s">
        <v>943</v>
      </c>
      <c r="D19" s="1"/>
      <c r="E19" s="1" t="s">
        <v>929</v>
      </c>
      <c r="F19" s="1" t="s">
        <v>454</v>
      </c>
      <c r="G19" s="4" t="s">
        <v>944</v>
      </c>
    </row>
    <row r="20" spans="1:7" ht="15.75" customHeight="1">
      <c r="A20" s="1" t="s">
        <v>926</v>
      </c>
      <c r="B20" s="18">
        <v>45343</v>
      </c>
      <c r="C20" s="1" t="s">
        <v>945</v>
      </c>
      <c r="D20" s="1"/>
      <c r="E20" s="1" t="s">
        <v>946</v>
      </c>
      <c r="F20" s="1" t="s">
        <v>454</v>
      </c>
      <c r="G20" s="1"/>
    </row>
    <row r="21" spans="1:7" ht="15.75" customHeight="1">
      <c r="A21" s="1" t="s">
        <v>947</v>
      </c>
      <c r="B21" s="18">
        <v>45387</v>
      </c>
      <c r="C21" s="1" t="s">
        <v>948</v>
      </c>
      <c r="D21" s="1"/>
      <c r="E21" s="1" t="s">
        <v>949</v>
      </c>
      <c r="F21" s="1" t="s">
        <v>950</v>
      </c>
      <c r="G21" s="5" t="s">
        <v>951</v>
      </c>
    </row>
    <row r="22" spans="1:7" ht="15.75" customHeight="1">
      <c r="A22" s="1" t="s">
        <v>947</v>
      </c>
      <c r="B22" s="18">
        <v>44754</v>
      </c>
      <c r="C22" s="1" t="s">
        <v>952</v>
      </c>
      <c r="D22" s="1"/>
      <c r="E22" s="1" t="s">
        <v>953</v>
      </c>
      <c r="F22" s="1" t="s">
        <v>454</v>
      </c>
      <c r="G22" s="4" t="s">
        <v>954</v>
      </c>
    </row>
    <row r="23" spans="1:7" ht="15.75" customHeight="1">
      <c r="A23" s="1" t="s">
        <v>947</v>
      </c>
      <c r="B23" s="18">
        <v>45091</v>
      </c>
      <c r="C23" s="1" t="s">
        <v>955</v>
      </c>
      <c r="D23" s="1"/>
      <c r="E23" s="1" t="s">
        <v>597</v>
      </c>
      <c r="F23" s="1" t="s">
        <v>598</v>
      </c>
      <c r="G23" s="5" t="s">
        <v>956</v>
      </c>
    </row>
    <row r="24" spans="1:7" ht="15.75" customHeight="1">
      <c r="A24" s="1" t="s">
        <v>947</v>
      </c>
      <c r="B24" s="18">
        <v>45148</v>
      </c>
      <c r="C24" s="1" t="s">
        <v>955</v>
      </c>
      <c r="D24" s="1"/>
      <c r="E24" s="1" t="s">
        <v>957</v>
      </c>
      <c r="F24" s="1" t="s">
        <v>522</v>
      </c>
      <c r="G24" s="4" t="s">
        <v>956</v>
      </c>
    </row>
    <row r="25" spans="1:7" ht="15.75" customHeight="1">
      <c r="A25" s="1" t="s">
        <v>947</v>
      </c>
      <c r="B25" s="18">
        <v>45219</v>
      </c>
      <c r="C25" s="1" t="s">
        <v>958</v>
      </c>
      <c r="D25" s="1" t="s">
        <v>959</v>
      </c>
      <c r="E25" s="1" t="s">
        <v>929</v>
      </c>
      <c r="F25" s="1" t="s">
        <v>454</v>
      </c>
      <c r="G25" s="1"/>
    </row>
  </sheetData>
  <hyperlinks>
    <hyperlink ref="G12" r:id="rId1" xr:uid="{00000000-0004-0000-0700-000000000000}"/>
    <hyperlink ref="G13" r:id="rId2" xr:uid="{00000000-0004-0000-0700-000001000000}"/>
    <hyperlink ref="G14" r:id="rId3" xr:uid="{00000000-0004-0000-0700-000002000000}"/>
    <hyperlink ref="G15" r:id="rId4" xr:uid="{00000000-0004-0000-0700-000003000000}"/>
    <hyperlink ref="G16" r:id="rId5" xr:uid="{00000000-0004-0000-0700-000004000000}"/>
    <hyperlink ref="G17" r:id="rId6" xr:uid="{00000000-0004-0000-0700-000005000000}"/>
    <hyperlink ref="G18" r:id="rId7" xr:uid="{00000000-0004-0000-0700-000006000000}"/>
    <hyperlink ref="G19" r:id="rId8" xr:uid="{00000000-0004-0000-0700-000007000000}"/>
    <hyperlink ref="G21" r:id="rId9" xr:uid="{00000000-0004-0000-0700-000008000000}"/>
    <hyperlink ref="G22" r:id="rId10" xr:uid="{00000000-0004-0000-0700-000009000000}"/>
    <hyperlink ref="G23" r:id="rId11" xr:uid="{00000000-0004-0000-0700-00000A000000}"/>
    <hyperlink ref="G24" r:id="rId12" xr:uid="{00000000-0004-0000-0700-00000B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24"/>
  <sheetViews>
    <sheetView workbookViewId="0">
      <pane ySplit="1" topLeftCell="A2" activePane="bottomLeft" state="frozen"/>
      <selection pane="bottomLeft" activeCell="B3" sqref="B3"/>
    </sheetView>
  </sheetViews>
  <sheetFormatPr defaultColWidth="12.6328125" defaultRowHeight="15.75" customHeight="1"/>
  <cols>
    <col min="1" max="1" width="9.08984375" customWidth="1"/>
    <col min="2" max="2" width="8.26953125" customWidth="1"/>
    <col min="3" max="3" width="21.7265625" customWidth="1"/>
    <col min="4" max="4" width="27.6328125" customWidth="1"/>
    <col min="5" max="5" width="10" customWidth="1"/>
    <col min="6" max="6" width="9.08984375" customWidth="1"/>
    <col min="7" max="7" width="11.7265625" customWidth="1"/>
    <col min="8" max="9" width="27.36328125" customWidth="1"/>
    <col min="10" max="10" width="23.36328125" customWidth="1"/>
    <col min="11" max="11" width="29.26953125" customWidth="1"/>
  </cols>
  <sheetData>
    <row r="1" spans="1:11" ht="15.75" customHeight="1">
      <c r="A1" s="8" t="s">
        <v>0</v>
      </c>
      <c r="B1" s="8" t="s">
        <v>960</v>
      </c>
      <c r="C1" s="8" t="s">
        <v>879</v>
      </c>
      <c r="D1" s="8" t="s">
        <v>961</v>
      </c>
      <c r="E1" s="8" t="s">
        <v>962</v>
      </c>
      <c r="F1" s="15" t="s">
        <v>963</v>
      </c>
      <c r="G1" s="8" t="s">
        <v>964</v>
      </c>
      <c r="H1" s="8" t="s">
        <v>965</v>
      </c>
      <c r="I1" s="8" t="s">
        <v>7</v>
      </c>
      <c r="J1" s="8" t="s">
        <v>966</v>
      </c>
      <c r="K1" s="8" t="s">
        <v>967</v>
      </c>
    </row>
    <row r="2" spans="1:11" ht="15.75" customHeight="1">
      <c r="A2" s="8" t="s">
        <v>968</v>
      </c>
      <c r="B2" s="8">
        <v>0</v>
      </c>
      <c r="C2" s="8" t="s">
        <v>969</v>
      </c>
      <c r="D2" s="8" t="s">
        <v>970</v>
      </c>
      <c r="E2" s="8">
        <v>2024</v>
      </c>
      <c r="F2" s="15" t="s">
        <v>971</v>
      </c>
      <c r="G2" s="8"/>
      <c r="H2" s="8" t="s">
        <v>972</v>
      </c>
      <c r="I2" s="8" t="s">
        <v>973</v>
      </c>
      <c r="J2" s="8"/>
      <c r="K2" s="8"/>
    </row>
    <row r="3" spans="1:11" ht="15.75" customHeight="1">
      <c r="A3" s="8" t="s">
        <v>968</v>
      </c>
      <c r="B3" s="8">
        <v>0</v>
      </c>
      <c r="C3" s="8" t="s">
        <v>974</v>
      </c>
      <c r="D3" s="8" t="s">
        <v>970</v>
      </c>
      <c r="E3" s="8">
        <v>2023</v>
      </c>
      <c r="F3" s="15" t="s">
        <v>975</v>
      </c>
      <c r="G3" s="8"/>
      <c r="H3" s="8" t="s">
        <v>972</v>
      </c>
      <c r="I3" s="8" t="s">
        <v>976</v>
      </c>
      <c r="J3" s="8"/>
      <c r="K3" s="8"/>
    </row>
    <row r="4" spans="1:11" ht="15.75" customHeight="1">
      <c r="A4" s="8" t="s">
        <v>968</v>
      </c>
      <c r="B4" s="8">
        <v>0</v>
      </c>
      <c r="C4" s="8" t="s">
        <v>977</v>
      </c>
      <c r="D4" s="8" t="s">
        <v>970</v>
      </c>
      <c r="E4" s="8">
        <v>2023</v>
      </c>
      <c r="F4" s="15" t="s">
        <v>975</v>
      </c>
      <c r="G4" s="8"/>
      <c r="H4" s="8" t="s">
        <v>972</v>
      </c>
      <c r="I4" s="8" t="s">
        <v>978</v>
      </c>
      <c r="J4" s="8"/>
      <c r="K4" s="8"/>
    </row>
    <row r="5" spans="1:11" ht="15.75" customHeight="1">
      <c r="A5" s="8" t="s">
        <v>968</v>
      </c>
      <c r="B5" s="8">
        <v>0</v>
      </c>
      <c r="C5" s="8" t="s">
        <v>546</v>
      </c>
      <c r="D5" s="8" t="s">
        <v>970</v>
      </c>
      <c r="E5" s="8">
        <v>2020</v>
      </c>
      <c r="F5" s="15" t="s">
        <v>979</v>
      </c>
      <c r="G5" s="8"/>
      <c r="H5" s="8" t="s">
        <v>972</v>
      </c>
      <c r="I5" s="8" t="s">
        <v>980</v>
      </c>
      <c r="J5" s="8"/>
      <c r="K5" s="8"/>
    </row>
    <row r="6" spans="1:11" ht="15.75" customHeight="1">
      <c r="A6" s="8" t="s">
        <v>968</v>
      </c>
      <c r="B6" s="8">
        <v>1</v>
      </c>
      <c r="C6" s="8" t="s">
        <v>550</v>
      </c>
      <c r="D6" s="8" t="s">
        <v>970</v>
      </c>
      <c r="E6" s="8">
        <v>2020</v>
      </c>
      <c r="F6" s="15" t="s">
        <v>981</v>
      </c>
      <c r="G6" s="22">
        <v>45511</v>
      </c>
      <c r="H6" s="8" t="s">
        <v>972</v>
      </c>
      <c r="I6" s="8" t="s">
        <v>982</v>
      </c>
      <c r="J6" s="8"/>
      <c r="K6" s="8"/>
    </row>
    <row r="7" spans="1:11" ht="15.75" customHeight="1">
      <c r="A7" s="8" t="s">
        <v>968</v>
      </c>
      <c r="B7" s="8">
        <v>1</v>
      </c>
      <c r="C7" s="8" t="s">
        <v>510</v>
      </c>
      <c r="D7" s="8" t="s">
        <v>970</v>
      </c>
      <c r="E7" s="8">
        <v>2019</v>
      </c>
      <c r="F7" s="15" t="s">
        <v>981</v>
      </c>
      <c r="G7" s="22">
        <v>45350</v>
      </c>
      <c r="H7" s="8" t="s">
        <v>972</v>
      </c>
      <c r="I7" s="8" t="s">
        <v>983</v>
      </c>
      <c r="J7" s="8" t="s">
        <v>984</v>
      </c>
      <c r="K7" s="8"/>
    </row>
    <row r="8" spans="1:11" ht="15.75" customHeight="1">
      <c r="A8" s="8" t="s">
        <v>985</v>
      </c>
      <c r="B8" s="8">
        <v>1</v>
      </c>
      <c r="C8" s="8" t="s">
        <v>969</v>
      </c>
      <c r="D8" s="8" t="s">
        <v>970</v>
      </c>
      <c r="E8" s="8">
        <v>2023</v>
      </c>
      <c r="F8" s="15" t="s">
        <v>981</v>
      </c>
      <c r="G8" s="8"/>
      <c r="H8" s="8"/>
      <c r="I8" s="8"/>
      <c r="J8" s="8"/>
      <c r="K8" s="8"/>
    </row>
    <row r="9" spans="1:11" ht="15.75" customHeight="1">
      <c r="A9" s="8" t="s">
        <v>985</v>
      </c>
      <c r="B9" s="8">
        <v>1</v>
      </c>
      <c r="C9" s="8" t="s">
        <v>986</v>
      </c>
      <c r="D9" s="8" t="s">
        <v>970</v>
      </c>
      <c r="E9" s="8">
        <v>2023</v>
      </c>
      <c r="F9" s="15" t="s">
        <v>981</v>
      </c>
      <c r="G9" s="8"/>
      <c r="H9" s="8"/>
      <c r="I9" s="8"/>
      <c r="J9" s="8"/>
      <c r="K9" s="8"/>
    </row>
    <row r="10" spans="1:11" ht="15.75" customHeight="1">
      <c r="A10" s="8" t="s">
        <v>985</v>
      </c>
      <c r="B10" s="8">
        <v>1</v>
      </c>
      <c r="C10" s="8" t="s">
        <v>987</v>
      </c>
      <c r="D10" s="8" t="s">
        <v>970</v>
      </c>
      <c r="E10" s="8">
        <v>2020</v>
      </c>
      <c r="F10" s="15" t="s">
        <v>988</v>
      </c>
      <c r="G10" s="8"/>
      <c r="H10" s="8"/>
      <c r="I10" s="8"/>
      <c r="J10" s="8"/>
      <c r="K10" s="8"/>
    </row>
    <row r="11" spans="1:11" ht="15.75" customHeight="1">
      <c r="A11" s="8" t="s">
        <v>985</v>
      </c>
      <c r="B11" s="8">
        <v>1</v>
      </c>
      <c r="C11" s="8" t="s">
        <v>546</v>
      </c>
      <c r="D11" s="8" t="s">
        <v>970</v>
      </c>
      <c r="E11" s="8">
        <v>2020</v>
      </c>
      <c r="F11" s="15" t="s">
        <v>988</v>
      </c>
      <c r="G11" s="8"/>
      <c r="H11" s="8"/>
      <c r="I11" s="8"/>
      <c r="J11" s="8"/>
      <c r="K11" s="8"/>
    </row>
    <row r="12" spans="1:11" ht="15.75" customHeight="1">
      <c r="A12" s="8" t="s">
        <v>989</v>
      </c>
      <c r="B12" s="8">
        <v>0</v>
      </c>
      <c r="C12" s="8" t="s">
        <v>990</v>
      </c>
      <c r="D12" s="8" t="s">
        <v>970</v>
      </c>
      <c r="E12" s="8">
        <v>2023</v>
      </c>
      <c r="F12" s="15" t="s">
        <v>991</v>
      </c>
      <c r="G12" s="8"/>
      <c r="H12" s="8"/>
      <c r="I12" s="8"/>
      <c r="J12" s="8"/>
      <c r="K12" s="8"/>
    </row>
    <row r="13" spans="1:11" ht="15.75" customHeight="1">
      <c r="A13" s="8" t="s">
        <v>989</v>
      </c>
      <c r="B13" s="8">
        <v>1</v>
      </c>
      <c r="C13" s="8" t="s">
        <v>986</v>
      </c>
      <c r="D13" s="8" t="s">
        <v>970</v>
      </c>
      <c r="E13" s="8">
        <v>2021</v>
      </c>
      <c r="F13" s="15" t="s">
        <v>992</v>
      </c>
      <c r="G13" s="8"/>
      <c r="H13" s="8"/>
      <c r="I13" s="8"/>
      <c r="J13" s="8"/>
      <c r="K13" s="8"/>
    </row>
    <row r="14" spans="1:11" ht="15.75" customHeight="1">
      <c r="A14" s="8" t="s">
        <v>989</v>
      </c>
      <c r="B14" s="8">
        <v>1</v>
      </c>
      <c r="C14" s="8" t="s">
        <v>993</v>
      </c>
      <c r="D14" s="8" t="s">
        <v>970</v>
      </c>
      <c r="E14" s="8">
        <v>2021</v>
      </c>
      <c r="F14" s="15" t="s">
        <v>988</v>
      </c>
      <c r="G14" s="8"/>
      <c r="H14" s="8"/>
      <c r="I14" s="8"/>
      <c r="J14" s="8"/>
      <c r="K14" s="8"/>
    </row>
    <row r="15" spans="1:11" ht="15.75" customHeight="1">
      <c r="A15" s="8" t="s">
        <v>989</v>
      </c>
      <c r="B15" s="8">
        <v>1</v>
      </c>
      <c r="C15" s="8" t="s">
        <v>994</v>
      </c>
      <c r="D15" s="8" t="s">
        <v>970</v>
      </c>
      <c r="E15" s="8">
        <v>2021</v>
      </c>
      <c r="F15" s="15" t="s">
        <v>988</v>
      </c>
      <c r="G15" s="8"/>
      <c r="H15" s="8"/>
      <c r="I15" s="8"/>
      <c r="J15" s="8"/>
      <c r="K15" s="8" t="s">
        <v>995</v>
      </c>
    </row>
    <row r="16" spans="1:11" ht="15.75" customHeight="1">
      <c r="A16" s="8" t="s">
        <v>989</v>
      </c>
      <c r="B16" s="8">
        <v>1</v>
      </c>
      <c r="C16" s="8" t="s">
        <v>996</v>
      </c>
      <c r="D16" s="8" t="s">
        <v>970</v>
      </c>
      <c r="E16" s="8">
        <v>2022</v>
      </c>
      <c r="F16" s="15" t="s">
        <v>997</v>
      </c>
      <c r="G16" s="8"/>
      <c r="H16" s="8"/>
      <c r="I16" s="8"/>
      <c r="J16" s="8"/>
      <c r="K16" s="8" t="s">
        <v>998</v>
      </c>
    </row>
    <row r="17" spans="1:11" ht="15.75" customHeight="1">
      <c r="A17" s="8" t="s">
        <v>989</v>
      </c>
      <c r="B17" s="8">
        <v>1</v>
      </c>
      <c r="C17" s="8" t="s">
        <v>999</v>
      </c>
      <c r="D17" s="8" t="s">
        <v>970</v>
      </c>
      <c r="E17" s="8">
        <v>2021</v>
      </c>
      <c r="F17" s="15" t="s">
        <v>988</v>
      </c>
      <c r="G17" s="8"/>
      <c r="H17" s="8"/>
      <c r="I17" s="8"/>
      <c r="J17" s="8"/>
      <c r="K17" s="8"/>
    </row>
    <row r="18" spans="1:11" ht="15.75" customHeight="1">
      <c r="A18" s="8" t="s">
        <v>1000</v>
      </c>
      <c r="B18" s="8">
        <v>1</v>
      </c>
      <c r="C18" s="8" t="s">
        <v>1001</v>
      </c>
      <c r="D18" s="8" t="s">
        <v>1002</v>
      </c>
      <c r="E18" s="8">
        <v>2019</v>
      </c>
      <c r="F18" s="15" t="s">
        <v>1003</v>
      </c>
      <c r="G18" s="8"/>
      <c r="H18" s="8"/>
      <c r="I18" s="8" t="s">
        <v>1004</v>
      </c>
      <c r="J18" s="8"/>
      <c r="K18" s="8"/>
    </row>
    <row r="19" spans="1:11" ht="15.75" customHeight="1">
      <c r="A19" s="8" t="s">
        <v>1005</v>
      </c>
      <c r="B19" s="8">
        <v>0</v>
      </c>
      <c r="C19" s="8" t="s">
        <v>1006</v>
      </c>
      <c r="D19" s="8" t="s">
        <v>970</v>
      </c>
      <c r="E19" s="8">
        <v>2023</v>
      </c>
      <c r="F19" s="15" t="s">
        <v>991</v>
      </c>
      <c r="G19" s="8"/>
      <c r="H19" s="8" t="s">
        <v>1007</v>
      </c>
      <c r="I19" s="8"/>
      <c r="J19" s="8"/>
      <c r="K19" s="8"/>
    </row>
    <row r="20" spans="1:11" ht="15.75" customHeight="1">
      <c r="A20" s="8" t="s">
        <v>1005</v>
      </c>
      <c r="B20" s="8">
        <v>0</v>
      </c>
      <c r="C20" s="8" t="s">
        <v>1008</v>
      </c>
      <c r="D20" s="8" t="s">
        <v>970</v>
      </c>
      <c r="E20" s="8">
        <v>2022</v>
      </c>
      <c r="F20" s="15" t="s">
        <v>991</v>
      </c>
      <c r="G20" s="8"/>
      <c r="H20" s="8" t="s">
        <v>1009</v>
      </c>
      <c r="I20" s="8"/>
      <c r="J20" s="8"/>
      <c r="K20" s="8"/>
    </row>
    <row r="21" spans="1:11" ht="15.75" customHeight="1">
      <c r="A21" s="8" t="s">
        <v>1005</v>
      </c>
      <c r="B21" s="8">
        <v>1</v>
      </c>
      <c r="C21" s="8" t="s">
        <v>1010</v>
      </c>
      <c r="D21" s="8" t="s">
        <v>970</v>
      </c>
      <c r="E21" s="8">
        <v>2021</v>
      </c>
      <c r="F21" s="15" t="s">
        <v>997</v>
      </c>
      <c r="G21" s="22">
        <v>44652</v>
      </c>
      <c r="H21" s="8" t="s">
        <v>1007</v>
      </c>
      <c r="I21" s="8" t="s">
        <v>1011</v>
      </c>
      <c r="J21" s="8"/>
    </row>
    <row r="22" spans="1:11" ht="15.75" customHeight="1">
      <c r="A22" s="8" t="s">
        <v>1005</v>
      </c>
      <c r="B22" s="8">
        <v>1</v>
      </c>
      <c r="C22" s="8" t="s">
        <v>1012</v>
      </c>
      <c r="D22" s="8" t="s">
        <v>970</v>
      </c>
      <c r="E22" s="8">
        <v>2020</v>
      </c>
      <c r="F22" s="15" t="s">
        <v>992</v>
      </c>
      <c r="G22" s="22">
        <v>45113</v>
      </c>
      <c r="H22" s="8" t="s">
        <v>1013</v>
      </c>
      <c r="I22" s="8" t="s">
        <v>1014</v>
      </c>
      <c r="J22" s="8"/>
    </row>
    <row r="23" spans="1:11" ht="15.75" customHeight="1">
      <c r="A23" s="8" t="s">
        <v>1005</v>
      </c>
      <c r="B23" s="8">
        <v>1</v>
      </c>
      <c r="C23" s="8" t="s">
        <v>1015</v>
      </c>
      <c r="D23" s="8" t="s">
        <v>970</v>
      </c>
      <c r="E23" s="8">
        <v>2019</v>
      </c>
      <c r="F23" s="15" t="s">
        <v>1003</v>
      </c>
      <c r="G23" s="22">
        <v>44158</v>
      </c>
      <c r="H23" s="8" t="s">
        <v>1016</v>
      </c>
      <c r="I23" s="8" t="s">
        <v>1017</v>
      </c>
      <c r="J23" s="8"/>
    </row>
    <row r="24" spans="1:11" ht="15.75" customHeight="1">
      <c r="A24" s="8" t="s">
        <v>1005</v>
      </c>
      <c r="B24" s="8">
        <v>1</v>
      </c>
      <c r="C24" s="8" t="s">
        <v>1018</v>
      </c>
      <c r="D24" s="8" t="s">
        <v>1019</v>
      </c>
      <c r="E24" s="8">
        <v>2019</v>
      </c>
      <c r="F24" s="15" t="s">
        <v>1003</v>
      </c>
      <c r="G24" s="22">
        <v>43899</v>
      </c>
      <c r="H24" s="8" t="s">
        <v>1020</v>
      </c>
      <c r="I24" s="8" t="s">
        <v>1021</v>
      </c>
      <c r="J24"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23"/>
  <sheetViews>
    <sheetView workbookViewId="0"/>
  </sheetViews>
  <sheetFormatPr defaultColWidth="12.6328125" defaultRowHeight="15.75" customHeight="1"/>
  <cols>
    <col min="1" max="1" width="10" customWidth="1"/>
    <col min="2" max="2" width="15.453125" customWidth="1"/>
    <col min="3" max="3" width="70.6328125" customWidth="1"/>
  </cols>
  <sheetData>
    <row r="1" spans="1:3" ht="15.75" customHeight="1">
      <c r="A1" s="13" t="s">
        <v>0</v>
      </c>
      <c r="B1" s="33" t="s">
        <v>1022</v>
      </c>
      <c r="C1" s="13" t="s">
        <v>1023</v>
      </c>
    </row>
    <row r="2" spans="1:3" ht="15.75" customHeight="1">
      <c r="A2" s="13" t="s">
        <v>1024</v>
      </c>
      <c r="B2" s="33" t="s">
        <v>1025</v>
      </c>
      <c r="C2" s="13" t="s">
        <v>1026</v>
      </c>
    </row>
    <row r="3" spans="1:3" ht="15.75" customHeight="1">
      <c r="A3" s="13" t="s">
        <v>1024</v>
      </c>
      <c r="B3" s="33" t="s">
        <v>1025</v>
      </c>
      <c r="C3" s="13" t="s">
        <v>1027</v>
      </c>
    </row>
    <row r="4" spans="1:3" ht="15.75" customHeight="1">
      <c r="A4" s="13" t="s">
        <v>1024</v>
      </c>
      <c r="B4" s="33" t="s">
        <v>1028</v>
      </c>
      <c r="C4" s="13" t="s">
        <v>1029</v>
      </c>
    </row>
    <row r="5" spans="1:3" ht="15.75" customHeight="1">
      <c r="A5" s="13" t="s">
        <v>1024</v>
      </c>
      <c r="B5" s="33" t="s">
        <v>1030</v>
      </c>
      <c r="C5" s="13" t="s">
        <v>1031</v>
      </c>
    </row>
    <row r="6" spans="1:3" ht="15.75" customHeight="1">
      <c r="A6" s="13" t="s">
        <v>1024</v>
      </c>
      <c r="B6" s="33" t="s">
        <v>1032</v>
      </c>
      <c r="C6" s="13" t="s">
        <v>1033</v>
      </c>
    </row>
    <row r="7" spans="1:3" ht="15.75" customHeight="1">
      <c r="A7" s="13" t="s">
        <v>1034</v>
      </c>
      <c r="B7" s="33" t="s">
        <v>1035</v>
      </c>
      <c r="C7" s="13" t="s">
        <v>1036</v>
      </c>
    </row>
    <row r="8" spans="1:3" ht="15.75" customHeight="1">
      <c r="A8" s="13" t="s">
        <v>1034</v>
      </c>
      <c r="B8" s="33" t="s">
        <v>1035</v>
      </c>
      <c r="C8" s="13" t="s">
        <v>1037</v>
      </c>
    </row>
    <row r="9" spans="1:3" ht="15.75" customHeight="1">
      <c r="A9" s="13" t="s">
        <v>1034</v>
      </c>
      <c r="B9" s="33" t="s">
        <v>992</v>
      </c>
      <c r="C9" s="13" t="s">
        <v>1038</v>
      </c>
    </row>
    <row r="10" spans="1:3" ht="15.75" customHeight="1">
      <c r="A10" s="13" t="s">
        <v>1034</v>
      </c>
      <c r="B10" s="33" t="s">
        <v>1039</v>
      </c>
      <c r="C10" s="13" t="s">
        <v>1040</v>
      </c>
    </row>
    <row r="11" spans="1:3" ht="15.75" customHeight="1">
      <c r="A11" s="13" t="s">
        <v>1034</v>
      </c>
      <c r="B11" s="33" t="s">
        <v>1041</v>
      </c>
      <c r="C11" s="13" t="s">
        <v>1042</v>
      </c>
    </row>
    <row r="12" spans="1:3" ht="15.75" customHeight="1">
      <c r="A12" s="13" t="s">
        <v>1034</v>
      </c>
      <c r="B12" s="33" t="s">
        <v>1028</v>
      </c>
      <c r="C12" s="13" t="s">
        <v>1043</v>
      </c>
    </row>
    <row r="13" spans="1:3" ht="15.75" customHeight="1">
      <c r="A13" s="13" t="s">
        <v>1044</v>
      </c>
      <c r="B13" s="33" t="s">
        <v>1025</v>
      </c>
      <c r="C13" s="13" t="s">
        <v>1045</v>
      </c>
    </row>
    <row r="14" spans="1:3" ht="15.75" customHeight="1">
      <c r="A14" s="13" t="s">
        <v>1044</v>
      </c>
      <c r="B14" s="33" t="s">
        <v>1035</v>
      </c>
      <c r="C14" s="13" t="s">
        <v>1046</v>
      </c>
    </row>
    <row r="15" spans="1:3" ht="15.75" customHeight="1">
      <c r="A15" s="13" t="s">
        <v>1044</v>
      </c>
      <c r="B15" s="33" t="s">
        <v>1041</v>
      </c>
      <c r="C15" s="13" t="s">
        <v>1047</v>
      </c>
    </row>
    <row r="16" spans="1:3" ht="15.75" customHeight="1">
      <c r="A16" s="13" t="s">
        <v>1044</v>
      </c>
      <c r="B16" s="33" t="s">
        <v>1041</v>
      </c>
      <c r="C16" s="13" t="s">
        <v>1048</v>
      </c>
    </row>
    <row r="17" spans="1:3" ht="15.75" customHeight="1">
      <c r="A17" s="13" t="s">
        <v>1044</v>
      </c>
      <c r="B17" s="33" t="s">
        <v>1039</v>
      </c>
      <c r="C17" s="13" t="s">
        <v>1049</v>
      </c>
    </row>
    <row r="18" spans="1:3" ht="15.75" customHeight="1">
      <c r="A18" s="13" t="s">
        <v>1044</v>
      </c>
      <c r="B18" s="33" t="s">
        <v>1050</v>
      </c>
      <c r="C18" s="13" t="s">
        <v>1051</v>
      </c>
    </row>
    <row r="19" spans="1:3" ht="15.75" customHeight="1">
      <c r="A19" s="13" t="s">
        <v>1044</v>
      </c>
      <c r="B19" s="33" t="s">
        <v>1052</v>
      </c>
      <c r="C19" s="13" t="s">
        <v>1053</v>
      </c>
    </row>
    <row r="20" spans="1:3" ht="15.75" customHeight="1">
      <c r="A20" s="13" t="s">
        <v>1044</v>
      </c>
      <c r="B20" s="33" t="s">
        <v>988</v>
      </c>
      <c r="C20" s="13" t="s">
        <v>1054</v>
      </c>
    </row>
    <row r="21" spans="1:3" ht="15.75" customHeight="1">
      <c r="A21" s="13" t="s">
        <v>1044</v>
      </c>
      <c r="B21" s="33" t="s">
        <v>1055</v>
      </c>
      <c r="C21" s="13" t="s">
        <v>1056</v>
      </c>
    </row>
    <row r="22" spans="1:3" ht="15.75" customHeight="1">
      <c r="A22" s="13" t="s">
        <v>1044</v>
      </c>
      <c r="B22" s="33" t="s">
        <v>1057</v>
      </c>
      <c r="C22" s="13" t="s">
        <v>1058</v>
      </c>
    </row>
    <row r="23" spans="1:3" ht="15.75" customHeight="1">
      <c r="A23" s="13" t="s">
        <v>1044</v>
      </c>
      <c r="B23" s="33" t="s">
        <v>1059</v>
      </c>
      <c r="C23" s="13" t="s">
        <v>1060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45"/>
  <sheetViews>
    <sheetView workbookViewId="0"/>
  </sheetViews>
  <sheetFormatPr defaultColWidth="12.6328125" defaultRowHeight="15.75" customHeight="1"/>
  <cols>
    <col min="1" max="1" width="9.26953125" customWidth="1"/>
    <col min="2" max="2" width="4.7265625" customWidth="1"/>
    <col min="3" max="3" width="59.36328125" customWidth="1"/>
  </cols>
  <sheetData>
    <row r="1" spans="1:3" ht="15.75" customHeight="1">
      <c r="A1" s="13" t="s">
        <v>0</v>
      </c>
      <c r="B1" s="33" t="s">
        <v>430</v>
      </c>
      <c r="C1" s="13" t="s">
        <v>1061</v>
      </c>
    </row>
    <row r="2" spans="1:3" ht="15.75" customHeight="1">
      <c r="A2" s="13" t="s">
        <v>253</v>
      </c>
      <c r="B2" s="33" t="s">
        <v>1052</v>
      </c>
      <c r="C2" s="13" t="s">
        <v>1062</v>
      </c>
    </row>
    <row r="3" spans="1:3" ht="15.75" customHeight="1">
      <c r="A3" s="13" t="s">
        <v>253</v>
      </c>
      <c r="B3" s="33" t="s">
        <v>1063</v>
      </c>
      <c r="C3" s="13" t="s">
        <v>1064</v>
      </c>
    </row>
    <row r="4" spans="1:3" ht="15.75" customHeight="1">
      <c r="A4" s="13" t="s">
        <v>253</v>
      </c>
      <c r="B4" s="33" t="s">
        <v>1052</v>
      </c>
      <c r="C4" s="13" t="s">
        <v>1064</v>
      </c>
    </row>
    <row r="5" spans="1:3" ht="15.75" customHeight="1">
      <c r="A5" s="13" t="s">
        <v>253</v>
      </c>
      <c r="B5" s="33" t="s">
        <v>1052</v>
      </c>
      <c r="C5" s="13" t="s">
        <v>1065</v>
      </c>
    </row>
    <row r="6" spans="1:3" ht="15.75" customHeight="1">
      <c r="A6" s="13" t="s">
        <v>253</v>
      </c>
      <c r="B6" s="34" t="s">
        <v>1003</v>
      </c>
      <c r="C6" s="13" t="s">
        <v>1066</v>
      </c>
    </row>
    <row r="7" spans="1:3" ht="15.75" customHeight="1">
      <c r="A7" s="13" t="s">
        <v>253</v>
      </c>
      <c r="B7" s="33" t="s">
        <v>992</v>
      </c>
      <c r="C7" s="13" t="s">
        <v>1067</v>
      </c>
    </row>
    <row r="8" spans="1:3" ht="15.75" customHeight="1">
      <c r="A8" s="13" t="s">
        <v>253</v>
      </c>
      <c r="B8" s="35">
        <v>2024</v>
      </c>
      <c r="C8" s="13" t="s">
        <v>1068</v>
      </c>
    </row>
    <row r="9" spans="1:3" ht="15.75" customHeight="1">
      <c r="A9" s="13" t="s">
        <v>253</v>
      </c>
      <c r="B9" s="35">
        <v>2013</v>
      </c>
      <c r="C9" s="13" t="s">
        <v>263</v>
      </c>
    </row>
    <row r="10" spans="1:3" ht="15.75" customHeight="1">
      <c r="A10" s="13" t="s">
        <v>253</v>
      </c>
      <c r="B10" s="35">
        <v>2019</v>
      </c>
      <c r="C10" s="13" t="s">
        <v>263</v>
      </c>
    </row>
    <row r="11" spans="1:3" ht="15.75" customHeight="1">
      <c r="A11" s="13" t="s">
        <v>253</v>
      </c>
      <c r="B11" s="35">
        <v>2020</v>
      </c>
      <c r="C11" s="13" t="s">
        <v>263</v>
      </c>
    </row>
    <row r="12" spans="1:3" ht="15.75" customHeight="1">
      <c r="A12" s="13" t="s">
        <v>1069</v>
      </c>
      <c r="B12" s="33" t="s">
        <v>1052</v>
      </c>
      <c r="C12" s="13" t="s">
        <v>1070</v>
      </c>
    </row>
    <row r="13" spans="1:3" ht="15.75" customHeight="1">
      <c r="A13" s="13" t="s">
        <v>1069</v>
      </c>
      <c r="B13" s="33" t="s">
        <v>1052</v>
      </c>
      <c r="C13" s="13" t="s">
        <v>1071</v>
      </c>
    </row>
    <row r="14" spans="1:3" ht="15.75" customHeight="1">
      <c r="A14" s="13" t="s">
        <v>1069</v>
      </c>
      <c r="B14" s="33" t="s">
        <v>1052</v>
      </c>
      <c r="C14" s="13" t="s">
        <v>1072</v>
      </c>
    </row>
    <row r="15" spans="1:3" ht="15.75" customHeight="1">
      <c r="A15" s="13" t="s">
        <v>1069</v>
      </c>
      <c r="B15" s="33" t="s">
        <v>1003</v>
      </c>
      <c r="C15" s="13" t="s">
        <v>1073</v>
      </c>
    </row>
    <row r="16" spans="1:3" ht="15.75" customHeight="1">
      <c r="A16" s="13" t="s">
        <v>1069</v>
      </c>
      <c r="B16" s="33" t="s">
        <v>988</v>
      </c>
      <c r="C16" s="13" t="s">
        <v>1073</v>
      </c>
    </row>
    <row r="17" spans="1:3" ht="15.75" customHeight="1">
      <c r="A17" s="13" t="s">
        <v>1069</v>
      </c>
      <c r="B17" s="33" t="s">
        <v>988</v>
      </c>
      <c r="C17" s="13" t="s">
        <v>1074</v>
      </c>
    </row>
    <row r="18" spans="1:3" ht="15.75" customHeight="1">
      <c r="A18" s="13" t="s">
        <v>1069</v>
      </c>
      <c r="B18" s="33" t="s">
        <v>988</v>
      </c>
      <c r="C18" s="13" t="s">
        <v>1075</v>
      </c>
    </row>
    <row r="19" spans="1:3" ht="15.75" customHeight="1">
      <c r="A19" s="13" t="s">
        <v>391</v>
      </c>
      <c r="B19" s="33" t="s">
        <v>992</v>
      </c>
      <c r="C19" s="13" t="s">
        <v>1076</v>
      </c>
    </row>
    <row r="20" spans="1:3" ht="15.75" customHeight="1">
      <c r="A20" s="13" t="s">
        <v>8</v>
      </c>
      <c r="B20" s="33"/>
      <c r="C20" s="13" t="s">
        <v>1077</v>
      </c>
    </row>
    <row r="21" spans="1:3" ht="15.75" customHeight="1">
      <c r="A21" s="13" t="s">
        <v>8</v>
      </c>
      <c r="B21" s="33"/>
      <c r="C21" s="13" t="s">
        <v>1078</v>
      </c>
    </row>
    <row r="22" spans="1:3" ht="15.75" customHeight="1">
      <c r="A22" s="13" t="s">
        <v>8</v>
      </c>
      <c r="B22" s="33"/>
      <c r="C22" s="13" t="s">
        <v>1079</v>
      </c>
    </row>
    <row r="23" spans="1:3" ht="15.75" customHeight="1">
      <c r="A23" s="13" t="s">
        <v>8</v>
      </c>
      <c r="B23" s="33"/>
      <c r="C23" s="13" t="s">
        <v>176</v>
      </c>
    </row>
    <row r="24" spans="1:3" ht="15.75" customHeight="1">
      <c r="A24" s="13" t="s">
        <v>8</v>
      </c>
      <c r="B24" s="33"/>
      <c r="C24" s="13" t="s">
        <v>1080</v>
      </c>
    </row>
    <row r="25" spans="1:3" ht="15.75" customHeight="1">
      <c r="A25" s="13" t="s">
        <v>8</v>
      </c>
      <c r="B25" s="33"/>
      <c r="C25" s="13" t="s">
        <v>1081</v>
      </c>
    </row>
    <row r="26" spans="1:3" ht="15.75" customHeight="1">
      <c r="A26" s="13" t="s">
        <v>8</v>
      </c>
      <c r="B26" s="33"/>
      <c r="C26" s="13" t="s">
        <v>1082</v>
      </c>
    </row>
    <row r="27" spans="1:3" ht="15.75" customHeight="1">
      <c r="A27" s="13" t="s">
        <v>8</v>
      </c>
      <c r="B27" s="33"/>
      <c r="C27" s="13" t="s">
        <v>54</v>
      </c>
    </row>
    <row r="28" spans="1:3" ht="15.75" customHeight="1">
      <c r="A28" s="13" t="s">
        <v>8</v>
      </c>
      <c r="B28" s="33"/>
      <c r="C28" s="13" t="s">
        <v>1083</v>
      </c>
    </row>
    <row r="29" spans="1:3" ht="15.75" customHeight="1">
      <c r="A29" s="13" t="s">
        <v>8</v>
      </c>
      <c r="B29" s="33"/>
      <c r="C29" s="13" t="s">
        <v>1084</v>
      </c>
    </row>
    <row r="30" spans="1:3" ht="15.75" customHeight="1">
      <c r="A30" s="13" t="s">
        <v>8</v>
      </c>
      <c r="B30" s="33"/>
      <c r="C30" s="13" t="s">
        <v>1085</v>
      </c>
    </row>
    <row r="31" spans="1:3" ht="15.75" customHeight="1">
      <c r="A31" s="13" t="s">
        <v>8</v>
      </c>
      <c r="B31" s="33"/>
      <c r="C31" s="13" t="s">
        <v>1086</v>
      </c>
    </row>
    <row r="32" spans="1:3" ht="15.75" customHeight="1">
      <c r="A32" s="13" t="s">
        <v>8</v>
      </c>
      <c r="B32" s="33"/>
      <c r="C32" s="13" t="s">
        <v>1087</v>
      </c>
    </row>
    <row r="33" spans="1:3" ht="13.5">
      <c r="A33" s="13" t="s">
        <v>8</v>
      </c>
      <c r="B33" s="33"/>
      <c r="C33" s="13" t="s">
        <v>1088</v>
      </c>
    </row>
    <row r="34" spans="1:3" ht="13.5">
      <c r="A34" s="13" t="s">
        <v>8</v>
      </c>
      <c r="B34" s="33"/>
      <c r="C34" s="13" t="s">
        <v>189</v>
      </c>
    </row>
    <row r="35" spans="1:3" ht="13.5">
      <c r="A35" s="13" t="s">
        <v>8</v>
      </c>
      <c r="B35" s="33"/>
      <c r="C35" s="13" t="s">
        <v>1089</v>
      </c>
    </row>
    <row r="36" spans="1:3" ht="13.5">
      <c r="A36" s="13" t="s">
        <v>8</v>
      </c>
      <c r="B36" s="33"/>
      <c r="C36" s="13" t="s">
        <v>1090</v>
      </c>
    </row>
    <row r="37" spans="1:3" ht="13.5">
      <c r="A37" s="13" t="s">
        <v>8</v>
      </c>
      <c r="B37" s="33"/>
      <c r="C37" s="13" t="s">
        <v>1091</v>
      </c>
    </row>
    <row r="38" spans="1:3" ht="13.5">
      <c r="A38" s="13" t="s">
        <v>8</v>
      </c>
      <c r="B38" s="33"/>
      <c r="C38" s="13" t="s">
        <v>1092</v>
      </c>
    </row>
    <row r="39" spans="1:3" ht="13.5">
      <c r="A39" s="13" t="s">
        <v>8</v>
      </c>
      <c r="B39" s="33"/>
      <c r="C39" s="13" t="s">
        <v>1093</v>
      </c>
    </row>
    <row r="40" spans="1:3" ht="13.5">
      <c r="A40" s="13" t="s">
        <v>8</v>
      </c>
      <c r="B40" s="33"/>
      <c r="C40" s="13" t="s">
        <v>1094</v>
      </c>
    </row>
    <row r="41" spans="1:3" ht="13.5">
      <c r="A41" s="13" t="s">
        <v>8</v>
      </c>
      <c r="B41" s="33"/>
      <c r="C41" s="13" t="s">
        <v>1095</v>
      </c>
    </row>
    <row r="42" spans="1:3" ht="13.5">
      <c r="A42" s="13" t="s">
        <v>8</v>
      </c>
      <c r="B42" s="33"/>
      <c r="C42" s="13" t="s">
        <v>1096</v>
      </c>
    </row>
    <row r="43" spans="1:3" ht="13.5">
      <c r="A43" s="13" t="s">
        <v>8</v>
      </c>
      <c r="B43" s="33"/>
      <c r="C43" s="13" t="s">
        <v>216</v>
      </c>
    </row>
    <row r="44" spans="1:3" ht="13.5">
      <c r="A44" s="13" t="s">
        <v>8</v>
      </c>
      <c r="B44" s="33"/>
      <c r="C44" s="13" t="s">
        <v>1097</v>
      </c>
    </row>
    <row r="45" spans="1:3" ht="13.5">
      <c r="A45" s="13" t="s">
        <v>8</v>
      </c>
      <c r="B45" s="33"/>
      <c r="C45" s="13" t="s">
        <v>1098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pubs</vt:lpstr>
      <vt:lpstr>presentations</vt:lpstr>
      <vt:lpstr>media</vt:lpstr>
      <vt:lpstr>grants</vt:lpstr>
      <vt:lpstr>grant_totals</vt:lpstr>
      <vt:lpstr>awards</vt:lpstr>
      <vt:lpstr>classes</vt:lpstr>
      <vt:lpstr>teaching</vt:lpstr>
      <vt:lpstr>advising</vt:lpstr>
      <vt:lpstr>service</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Reiley Bergin</dc:creator>
  <cp:lastModifiedBy>Reiley Bergin</cp:lastModifiedBy>
  <dcterms:created xsi:type="dcterms:W3CDTF">2024-09-19T14:48:27Z</dcterms:created>
  <dcterms:modified xsi:type="dcterms:W3CDTF">2024-10-03T14:35:32Z</dcterms:modified>
</cp:coreProperties>
</file>