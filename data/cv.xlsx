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tb14\code_projects\my_cv\data\"/>
    </mc:Choice>
  </mc:AlternateContent>
  <xr:revisionPtr revIDLastSave="0" documentId="13_ncr:1_{47E1E35C-1630-4246-B14A-1C15E7C649C0}" xr6:coauthVersionLast="47" xr6:coauthVersionMax="47" xr10:uidLastSave="{00000000-0000-0000-0000-000000000000}"/>
  <bookViews>
    <workbookView xWindow="-110" yWindow="-110" windowWidth="22780" windowHeight="14660" xr2:uid="{00000000-000D-0000-FFFF-FFFF00000000}"/>
  </bookViews>
  <sheets>
    <sheet name="pubs" sheetId="1" r:id="rId1"/>
    <sheet name="presentations" sheetId="2" r:id="rId2"/>
    <sheet name="media" sheetId="3" r:id="rId3"/>
    <sheet name="grants" sheetId="4" r:id="rId4"/>
    <sheet name="grant_totals" sheetId="5" r:id="rId5"/>
    <sheet name="awards" sheetId="6" r:id="rId6"/>
    <sheet name="classes" sheetId="7" r:id="rId7"/>
    <sheet name="teaching" sheetId="8" r:id="rId8"/>
    <sheet name="advising" sheetId="9" r:id="rId9"/>
    <sheet name="service" sheetId="10" r:id="rId10"/>
    <sheet name="reviews" sheetId="11" r:id="rId11"/>
  </sheets>
  <definedNames>
    <definedName name="_xlnm._FilterDatabase" localSheetId="5" hidden="1">awards!$A$1:$D$7</definedName>
    <definedName name="_xlnm._FilterDatabase" localSheetId="1" hidden="1">presentations!$A$1:$H$8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B3" i="5"/>
  <c r="C2" i="5"/>
  <c r="B2" i="5"/>
  <c r="D3" i="5" l="1"/>
  <c r="C4" i="5"/>
  <c r="B4" i="5"/>
  <c r="D2" i="5"/>
  <c r="D4" i="5" l="1"/>
  <c r="E2" i="5"/>
  <c r="F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Reiley Bergin</author>
  </authors>
  <commentList>
    <comment ref="F1" authorId="0" shapeId="0" xr:uid="{72F4BDCE-6F33-4690-BF34-249335D64803}">
      <text>
        <r>
          <rPr>
            <b/>
            <sz val="9"/>
            <color indexed="81"/>
            <rFont val="Tahoma"/>
            <family val="2"/>
          </rPr>
          <t>Reiley Bergin:</t>
        </r>
        <r>
          <rPr>
            <sz val="9"/>
            <color indexed="81"/>
            <rFont val="Tahoma"/>
            <family val="2"/>
          </rPr>
          <t xml:space="preserve">
changed to my name</t>
        </r>
      </text>
    </comment>
  </commentList>
</comments>
</file>

<file path=xl/sharedStrings.xml><?xml version="1.0" encoding="utf-8"?>
<sst xmlns="http://schemas.openxmlformats.org/spreadsheetml/2006/main" count="234" uniqueCount="169">
  <si>
    <t>category</t>
  </si>
  <si>
    <t>pub_date</t>
  </si>
  <si>
    <t>year</t>
  </si>
  <si>
    <t>author</t>
  </si>
  <si>
    <t>title</t>
  </si>
  <si>
    <t>journal</t>
  </si>
  <si>
    <t>number</t>
  </si>
  <si>
    <t>doi</t>
  </si>
  <si>
    <t>conference</t>
  </si>
  <si>
    <t>other</t>
  </si>
  <si>
    <t>date</t>
  </si>
  <si>
    <t>with</t>
  </si>
  <si>
    <t>series</t>
  </si>
  <si>
    <t>host</t>
  </si>
  <si>
    <t>location</t>
  </si>
  <si>
    <t>url</t>
  </si>
  <si>
    <t>Consumer Preferences for Electrified Vehicles in China and the U.S.</t>
  </si>
  <si>
    <t>Center for Climate and Energy Decision Making Annual Meeting</t>
  </si>
  <si>
    <t>Pittsburgh, PA</t>
  </si>
  <si>
    <t>poster</t>
  </si>
  <si>
    <t>32nd Annual USAEE / IAEE North American Conference</t>
  </si>
  <si>
    <t>Anchorage, AK</t>
  </si>
  <si>
    <t>invited</t>
  </si>
  <si>
    <t>organizer</t>
  </si>
  <si>
    <t>panelist</t>
  </si>
  <si>
    <t>discussant</t>
  </si>
  <si>
    <t>highlight</t>
  </si>
  <si>
    <t>outlet</t>
  </si>
  <si>
    <t>type</t>
  </si>
  <si>
    <t>post</t>
  </si>
  <si>
    <t>submitted</t>
  </si>
  <si>
    <t>status</t>
  </si>
  <si>
    <t>id</t>
  </si>
  <si>
    <t>period</t>
  </si>
  <si>
    <t>budget_total</t>
  </si>
  <si>
    <t>budget_managed</t>
  </si>
  <si>
    <t>awarded</t>
  </si>
  <si>
    <t>affiliated</t>
  </si>
  <si>
    <t>external</t>
  </si>
  <si>
    <t>pi</t>
  </si>
  <si>
    <t>copi</t>
  </si>
  <si>
    <t>sponsor</t>
  </si>
  <si>
    <t>collaborators</t>
  </si>
  <si>
    <t>co-pi</t>
  </si>
  <si>
    <t>total</t>
  </si>
  <si>
    <t>rate_success</t>
  </si>
  <si>
    <t>rate_reject</t>
  </si>
  <si>
    <t>rejected</t>
  </si>
  <si>
    <t>description</t>
  </si>
  <si>
    <t>research</t>
  </si>
  <si>
    <t>student</t>
  </si>
  <si>
    <t>teaching</t>
  </si>
  <si>
    <t>service</t>
  </si>
  <si>
    <t>scholarship</t>
  </si>
  <si>
    <t>semester</t>
  </si>
  <si>
    <t>name</t>
  </si>
  <si>
    <t>S19</t>
  </si>
  <si>
    <t>lecture</t>
  </si>
  <si>
    <t>complete</t>
  </si>
  <si>
    <t>institution</t>
  </si>
  <si>
    <t>date_start</t>
  </si>
  <si>
    <t>date_stop</t>
  </si>
  <si>
    <t>defense_date</t>
  </si>
  <si>
    <t>chair</t>
  </si>
  <si>
    <t>employment</t>
  </si>
  <si>
    <t>notes</t>
  </si>
  <si>
    <t>phd</t>
  </si>
  <si>
    <t>ms</t>
  </si>
  <si>
    <t>2021</t>
  </si>
  <si>
    <t>ug</t>
  </si>
  <si>
    <t>2022</t>
  </si>
  <si>
    <t>hs</t>
  </si>
  <si>
    <t>2020</t>
  </si>
  <si>
    <t>committee</t>
  </si>
  <si>
    <t>dates</t>
  </si>
  <si>
    <t>activity</t>
  </si>
  <si>
    <t>dept</t>
  </si>
  <si>
    <t>2024 - present</t>
  </si>
  <si>
    <t xml:space="preserve">college </t>
  </si>
  <si>
    <t>2023 - present</t>
  </si>
  <si>
    <t>professional</t>
  </si>
  <si>
    <t>2019</t>
  </si>
  <si>
    <t>org</t>
  </si>
  <si>
    <t xml:space="preserve">funding </t>
  </si>
  <si>
    <t>EXAMPLE</t>
  </si>
  <si>
    <t>Quoted in article ["Name of  Article"](https://www.link_to_article)</t>
  </si>
  <si>
    <t>budget_rtb</t>
  </si>
  <si>
    <t>Teaching Assistant</t>
  </si>
  <si>
    <t>Acute to Chronic Workload Ratio Monitoring for Athlete Performance</t>
  </si>
  <si>
    <t>NSCA Coach</t>
  </si>
  <si>
    <t>Vol 3, Issue 4</t>
  </si>
  <si>
    <t>Environmental Conditions, Preseason Fitness Levels, and Game Workload: Analysis of a Female NCAA DI National Championship Soccer Season</t>
  </si>
  <si>
    <t>The Journal of Strength &amp; Conditioning Research</t>
  </si>
  <si>
    <t>The Effect of Cognitive Dual-Tasks on Dynamic Postural Sway During Gait Using Inertial Measurement Units</t>
  </si>
  <si>
    <t>Physiological Measurement</t>
  </si>
  <si>
    <t>Comparisons and Intercorrelations of Physical Performance Variables of Operational Preparedness in Special Operations Forces</t>
  </si>
  <si>
    <t>peer_rev_pub_article</t>
  </si>
  <si>
    <t>Ross JA, Winters JD, Royer SD, Hoch MC, **Bergin RT**, Morelli N, Conley C, Sheppard RL, Heebner NR</t>
  </si>
  <si>
    <t>Benjamin CL, Hosokawa Y, Curtis RM, Schaefer DA, **Bergin RT**, Abegg MR, Casa DJ</t>
  </si>
  <si>
    <t>Morelli N, Heebner NR, **Bergin RT**, Quintana Q, Hoch M</t>
  </si>
  <si>
    <t>Benjamin CL, **Bergin RT**</t>
  </si>
  <si>
    <t>**Bergin RT**</t>
  </si>
  <si>
    <t>Using Inertial Measurement Units (IMUs) to Assess Fatigue-Related Changes in Running: Applications in Training Load Management</t>
  </si>
  <si>
    <t>dissertation</t>
  </si>
  <si>
    <t>Theses and Dissertations--Rehabilitation Sciences</t>
  </si>
  <si>
    <t>103</t>
  </si>
  <si>
    <t>10.13023/etd.2024.149</t>
  </si>
  <si>
    <t>peer_rev_abstract</t>
  </si>
  <si>
    <t>Knee Extension Strength Asymmetry Does Not Affect Peak Power or Fatigue During the Wingate Test</t>
  </si>
  <si>
    <t>American College of Sports Medicine Annual Meeting</t>
  </si>
  <si>
    <t>Minneapolis, Minnesota</t>
  </si>
  <si>
    <t>The Effect of Acute Sleep Restriction on Lower Limb Running Mechanics During an Exhaustive Treadmill Run</t>
  </si>
  <si>
    <t>Orlando, FL</t>
  </si>
  <si>
    <t>Neurocognition and Dynamic Postural Control in Collegiate Athletes with a History of Ankle Sprain</t>
  </si>
  <si>
    <t>8th International Ankle Symposium</t>
  </si>
  <si>
    <t>Amsterdam</t>
  </si>
  <si>
    <t>Physical Performance Aspects of Operational Preparedness in Marine Raiders Following Unit Deployment Training</t>
  </si>
  <si>
    <t>San Francisco, CA</t>
  </si>
  <si>
    <t>Impact Loading During Running in Marine Special Operations Personnel Prior to Deployment</t>
  </si>
  <si>
    <t>Military Health System Research Symposium</t>
  </si>
  <si>
    <t>Kissimmee, FL</t>
  </si>
  <si>
    <t>Relationships Between Self-Reported Musculoskeletal and Psychosocial Health in Special Operations Personnel</t>
  </si>
  <si>
    <t>Marine Raider Operators Demonstrate Increased Running Performance with Similar Impact Patterns Compared to Support Personnel</t>
  </si>
  <si>
    <t>Dynamic Strength Index Differs Between Male and Female Entry-level U.S. Marines at the School of Infantry-West</t>
  </si>
  <si>
    <t>The Relationship Between Single-Leg Memory Hop Distance and Maximum Vertical Jump Height in Healthy U.S. Marines</t>
  </si>
  <si>
    <t>Best S, **Bergin RT**, Royer S, Winters JD, Poploski K, Heebner NR, Abt JP, Lephart S</t>
  </si>
  <si>
    <t>**Bergin RT**, Heebner NR, Glueck A, DeRaymond C, Abt JP, Best S</t>
  </si>
  <si>
    <t>Hoch M, Heebner NR, Quintana Q, **Bergin RT**, Han D, Abt JP</t>
  </si>
  <si>
    <t>Royer S, Winters J, Ross J, Hoch M, **Bergin RT**, Morelli N, Sheppard R, Heebner N</t>
  </si>
  <si>
    <t>**Bergin RT**, Heebner N, Royer S, Ross J, Johnson AK, Hoch M, Morelli N, Conley C, Sheppard R, Winters J</t>
  </si>
  <si>
    <t>Hoch MC, Winter JD, Royer SD, Morelli N, **Bergin RT**, Conley CE, Ross JA, Shepard RL, Heebner NR</t>
  </si>
  <si>
    <t>Winters JD, Djafar TE, Ross JA, **Bergin RT**, Conley CW, Dlugonski D, Sheppard RL, Chatham B, Heebner NR</t>
  </si>
  <si>
    <t>Winters J, Sessoms P, **Bergin RT**, Djafar T, Fraser J, Green B, Heebner N, Heimark N, Ross J, Silder A, Torp D, Viboch T, Whittier T, Hoch M</t>
  </si>
  <si>
    <t>Heimark N, Porter KH, **Bergin RT**, Djafar TE, Green BS, Fraser JJ, Heebner NR, Ross JA, Sessoms PH, Silder A, Taylor M, Torp DM, Winters JD, Hoch MC</t>
  </si>
  <si>
    <t>Denver, CO</t>
  </si>
  <si>
    <t>NATA Clinical Symposia &amp; AT Expo</t>
  </si>
  <si>
    <t>New Orleans, Louisiana</t>
  </si>
  <si>
    <t>Military Medicine</t>
  </si>
  <si>
    <t>Volume 188, Issue 5-6, May-June 2023, Pages e1109–e1116</t>
  </si>
  <si>
    <t>10.1093/milmed/usab425</t>
  </si>
  <si>
    <t>10.1519/JSC.0000000000003535</t>
  </si>
  <si>
    <t>34.4 (2020): 988-994</t>
  </si>
  <si>
    <t>10.1088/1361-6579/ab8050</t>
  </si>
  <si>
    <t>2020 May 4;41(4):045002</t>
  </si>
  <si>
    <t>F18</t>
  </si>
  <si>
    <t>RHB 680</t>
  </si>
  <si>
    <t>Lab Techniques in Rehabilitation Sciences</t>
  </si>
  <si>
    <t>KHP 450</t>
  </si>
  <si>
    <t>Introduction to Exercise Testing and Prescription</t>
  </si>
  <si>
    <t>role</t>
  </si>
  <si>
    <t>course_number</t>
  </si>
  <si>
    <t>course_title</t>
  </si>
  <si>
    <t>number_of_students</t>
  </si>
  <si>
    <t>~5-6</t>
  </si>
  <si>
    <t>~10-12</t>
  </si>
  <si>
    <t>McCloughan NH, Porter K, **Bergin RT**, Hoch JM, Torp DM, Slider AB, Sessoms PH, Fraser JJ, Hoch MC</t>
  </si>
  <si>
    <t>Pain interference is associated with motor-cognitive performance in entry-level marines returning to training following lower extremity musculoskeletal injury</t>
  </si>
  <si>
    <t>Journal of Athletic Training</t>
  </si>
  <si>
    <t>National Athletic Trainers Association Annual Meeting, Orlando, FL, June 2025. Rapid Fire Presentation, Co-Investigator, Accepted presentation</t>
  </si>
  <si>
    <t>Hoch JM, Dlugonski D, Cramer R, **Bergin RT**, Torp DM, McCloughan H, Green B, Sessoms P, Fraser JJ, Hoch MC</t>
  </si>
  <si>
    <t>The relationship between sleep health and health-related quality of life in entry-level U.S. Marines</t>
  </si>
  <si>
    <t>Ross JA, **Bergin RT**, Taylor M, Torp DM, Heebner NR, Winters JD, Djafar T, Carroll1 BA, Hoch MC</t>
  </si>
  <si>
    <t>Atlanta GA. May 2025</t>
  </si>
  <si>
    <t>Reliability of Common Movement Screens on Commercial Uniaxial Force Plates and Software. Poster Presentation.</t>
  </si>
  <si>
    <t>Bruce Leicht AS, Winters J, **Bergin RT**, Carroll B, Djafar T, Green B, Heebner N, Fraser JJ, McCloughan NH, Ross J, Sessoms PH, Silder A, Hoch M.</t>
  </si>
  <si>
    <t>Influence of Sex and Limb Dominance On Functional Performance Symmetry And Loading In Entry-Level Marines. Poster Presentation.</t>
  </si>
  <si>
    <t>Porter KH, **Bergin RT**, Carroll B, Fraser JJ, McCloughan NH, Sessoms PH, Hoch MC</t>
  </si>
  <si>
    <t>Sex-related differences on neuromuscular-cognitive assessments in healthy Marines. Poster Presentation.</t>
  </si>
  <si>
    <r>
      <t xml:space="preserve">PhD student </t>
    </r>
    <r>
      <rPr>
        <sz val="9"/>
        <color rgb="FFFF0000"/>
        <rFont val="Roboto Mono"/>
        <family val="3"/>
      </rPr>
      <t xml:space="preserve">EXAMPLE </t>
    </r>
    <r>
      <rPr>
        <sz val="9"/>
        <color theme="1"/>
        <rFont val="Roboto Mono"/>
        <family val="3"/>
      </rPr>
      <t>awarded First Prize for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</si>
</sst>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yyyy&quot;-&quot;mm&quot;-&quot;dd"/>
    <numFmt numFmtId="166" formatCode="&quot;$&quot;#,##0"/>
    <numFmt numFmtId="167" formatCode="&quot;$&quot;#,##0.00"/>
    <numFmt numFmtId="168" formatCode="0.0%"/>
  </numFmts>
  <fonts count="12" x14ac:knownFonts="1">
    <font>
      <sz val="10"/>
      <color rgb="FF000000"/>
      <name val="Arial"/>
      <scheme val="minor"/>
    </font>
    <font>
      <sz val="9"/>
      <color theme="1"/>
      <name val="Roboto Mono"/>
    </font>
    <font>
      <u/>
      <sz val="9"/>
      <color rgb="FF0000FF"/>
      <name val="Roboto Mono"/>
    </font>
    <font>
      <u/>
      <sz val="9"/>
      <color rgb="FF0000FF"/>
      <name val="Roboto Mono"/>
    </font>
    <font>
      <u/>
      <sz val="9"/>
      <color rgb="FF0000FF"/>
      <name val="Roboto Mono"/>
    </font>
    <font>
      <sz val="9"/>
      <color rgb="FFFF0000"/>
      <name val="Roboto Mono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Roboto Mono"/>
      <family val="3"/>
    </font>
    <font>
      <sz val="8"/>
      <name val="Arial"/>
      <family val="2"/>
      <scheme val="minor"/>
    </font>
    <font>
      <sz val="9"/>
      <color theme="0"/>
      <name val="Roboto Mono"/>
      <family val="3"/>
    </font>
    <font>
      <sz val="10"/>
      <color theme="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 wrapText="1"/>
    </xf>
    <xf numFmtId="16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0" borderId="0" xfId="0" applyFont="1"/>
    <xf numFmtId="49" fontId="1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165" fontId="1" fillId="0" borderId="0" xfId="0" applyNumberFormat="1" applyFont="1" applyAlignment="1">
      <alignment horizontal="left" vertical="top" wrapText="1"/>
    </xf>
    <xf numFmtId="164" fontId="1" fillId="0" borderId="0" xfId="0" applyNumberFormat="1" applyFont="1" applyAlignment="1">
      <alignment horizontal="right" vertical="top" wrapText="1"/>
    </xf>
    <xf numFmtId="164" fontId="1" fillId="0" borderId="0" xfId="0" applyNumberFormat="1" applyFont="1" applyAlignment="1">
      <alignment vertical="top" wrapText="1"/>
    </xf>
    <xf numFmtId="166" fontId="1" fillId="0" borderId="0" xfId="0" applyNumberFormat="1" applyFont="1"/>
    <xf numFmtId="164" fontId="1" fillId="0" borderId="0" xfId="0" applyNumberFormat="1" applyFont="1"/>
    <xf numFmtId="0" fontId="4" fillId="0" borderId="0" xfId="0" applyFont="1"/>
    <xf numFmtId="168" fontId="1" fillId="0" borderId="0" xfId="0" applyNumberFormat="1" applyFont="1"/>
    <xf numFmtId="49" fontId="1" fillId="0" borderId="0" xfId="0" applyNumberFormat="1" applyFont="1"/>
    <xf numFmtId="167" fontId="5" fillId="0" borderId="0" xfId="0" applyNumberFormat="1" applyFont="1"/>
    <xf numFmtId="0" fontId="8" fillId="0" borderId="0" xfId="0" applyFont="1" applyAlignment="1">
      <alignment vertical="top" wrapText="1"/>
    </xf>
    <xf numFmtId="0" fontId="10" fillId="0" borderId="0" xfId="0" applyFont="1" applyAlignment="1">
      <alignment horizontal="left" vertical="top" wrapText="1"/>
    </xf>
    <xf numFmtId="0" fontId="11" fillId="0" borderId="0" xfId="0" applyFont="1"/>
    <xf numFmtId="165" fontId="10" fillId="0" borderId="0" xfId="0" applyNumberFormat="1" applyFont="1" applyAlignment="1">
      <alignment horizontal="left" vertical="top" wrapText="1"/>
    </xf>
    <xf numFmtId="0" fontId="10" fillId="0" borderId="0" xfId="0" applyFont="1"/>
    <xf numFmtId="166" fontId="10" fillId="0" borderId="0" xfId="0" applyNumberFormat="1" applyFont="1"/>
    <xf numFmtId="167" fontId="10" fillId="0" borderId="0" xfId="0" applyNumberFormat="1" applyFont="1"/>
    <xf numFmtId="0" fontId="10" fillId="0" borderId="0" xfId="0" applyFont="1" applyAlignment="1">
      <alignment vertical="top" wrapText="1"/>
    </xf>
    <xf numFmtId="49" fontId="10" fillId="0" borderId="0" xfId="0" applyNumberFormat="1" applyFont="1" applyAlignment="1">
      <alignment vertical="top" wrapText="1"/>
    </xf>
    <xf numFmtId="49" fontId="10" fillId="0" borderId="0" xfId="0" applyNumberFormat="1" applyFont="1"/>
    <xf numFmtId="49" fontId="10" fillId="0" borderId="0" xfId="0" applyNumberFormat="1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164" fontId="8" fillId="0" borderId="0" xfId="0" applyNumberFormat="1" applyFont="1" applyAlignment="1">
      <alignment horizontal="left" vertical="top" wrapText="1"/>
    </xf>
    <xf numFmtId="14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14" fontId="1" fillId="0" borderId="0" xfId="0" applyNumberFormat="1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strike val="0"/>
        <outline val="0"/>
        <shadow val="0"/>
        <u val="none"/>
        <vertAlign val="baseline"/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strike val="0"/>
        <outline val="0"/>
        <shadow val="0"/>
        <u val="none"/>
        <vertAlign val="baseline"/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30" formatCode="@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165" formatCode="yyyy&quot;-&quot;mm&quot;-&quot;dd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30" formatCode="@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169" formatCode="#,##0.0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  <numFmt numFmtId="169" formatCode="#,##0.0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0000FF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Roboto Mono"/>
        <family val="3"/>
        <scheme val="none"/>
      </font>
      <numFmt numFmtId="167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164" formatCode="yyyy\-mm\-dd"/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165" formatCode="yyyy&quot;-&quot;mm&quot;-&quot;dd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numFmt numFmtId="30" formatCode="@"/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Roboto Mono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Roboto Mono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CEA53D-D77B-4A96-B7AA-F70DEE3D2994}" name="pubs" displayName="pubs" ref="A1:H20" totalsRowShown="0" headerRowDxfId="86" dataDxfId="85">
  <autoFilter ref="A1:H20" xr:uid="{B8CEA53D-D77B-4A96-B7AA-F70DEE3D2994}"/>
  <sortState xmlns:xlrd2="http://schemas.microsoft.com/office/spreadsheetml/2017/richdata2" ref="A2:H16">
    <sortCondition ref="B1:B16"/>
  </sortState>
  <tableColumns count="8">
    <tableColumn id="1" xr3:uid="{E127F028-EB8A-413E-8736-550A3AA85864}" name="category" dataDxfId="84"/>
    <tableColumn id="2" xr3:uid="{25FCAE7B-F3F3-43F6-BFC7-7A194BEFE695}" name="pub_date" dataDxfId="83"/>
    <tableColumn id="4" xr3:uid="{B177C970-DE79-4FF9-91DE-1C30D9C4F73C}" name="year" dataDxfId="82"/>
    <tableColumn id="5" xr3:uid="{FCB73B07-E8B7-42C1-A098-D7510223DA6D}" name="author" dataDxfId="81"/>
    <tableColumn id="6" xr3:uid="{AB42DA33-4FD4-45CB-99C5-7B62FE31A49A}" name="title" dataDxfId="80"/>
    <tableColumn id="7" xr3:uid="{AB233218-2B4C-44CC-8605-5D10B607939B}" name="journal" dataDxfId="79"/>
    <tableColumn id="8" xr3:uid="{0C8EF8A5-3D7C-42F3-BBE1-882E3F663D44}" name="number" dataDxfId="78"/>
    <tableColumn id="9" xr3:uid="{53E09A4A-DC2D-4FB3-B23A-A778383E9F27}" name="doi" dataDxfId="77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8E16FA-0CD1-4A86-9D88-AE464E9A75C5}" name="presentations" displayName="presentations" ref="A1:H8" totalsRowShown="0" headerRowDxfId="76" dataDxfId="75">
  <autoFilter ref="A1:H8" xr:uid="{00000000-0001-0000-0100-000000000000}"/>
  <tableColumns count="8">
    <tableColumn id="1" xr3:uid="{3E1CC6D7-8F48-45A1-871B-6D4A28C2C7A4}" name="category" dataDxfId="74"/>
    <tableColumn id="2" xr3:uid="{216ED7C1-804E-4145-8EB9-CE1162798CEE}" name="date" dataDxfId="73"/>
    <tableColumn id="3" xr3:uid="{C1B2DD58-B48D-4B86-B6B4-F83302BDAE9E}" name="title" dataDxfId="72"/>
    <tableColumn id="4" xr3:uid="{7502E0FE-EECA-4D80-BF6F-40C29D8414D2}" name="with" dataDxfId="71"/>
    <tableColumn id="5" xr3:uid="{8B6A8F1D-1902-4F7F-ADCF-BFE7611CD376}" name="series" dataDxfId="70"/>
    <tableColumn id="6" xr3:uid="{22142A40-C97A-40CD-AD06-E10885F2CF2C}" name="host" dataDxfId="69"/>
    <tableColumn id="7" xr3:uid="{FFBE6890-88F8-4F5E-966B-4E1318E1D976}" name="location" dataDxfId="68"/>
    <tableColumn id="8" xr3:uid="{01ECBE68-E34B-46B6-BDCA-9E7E08244356}" name="url" dataDxfId="6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1DD4C2-F327-46C1-B732-A91BBF0B5380}" name="media" displayName="media" ref="A1:E3" totalsRowShown="0" headerRowDxfId="66" dataDxfId="65">
  <autoFilter ref="A1:E3" xr:uid="{581DD4C2-F327-46C1-B732-A91BBF0B5380}"/>
  <tableColumns count="5">
    <tableColumn id="1" xr3:uid="{0DD6E162-FD37-4C5A-9CC4-7C1362F96E58}" name="date" dataDxfId="64"/>
    <tableColumn id="2" xr3:uid="{57DB46B8-E2F1-4696-AB40-44F6EC4562DB}" name="highlight" dataDxfId="63"/>
    <tableColumn id="3" xr3:uid="{C53C862D-71EF-429C-A8DB-64BFBB9BBBD3}" name="outlet" dataDxfId="62"/>
    <tableColumn id="4" xr3:uid="{0820154B-FDCC-4738-AC02-35CBC5DB2F85}" name="type" dataDxfId="61"/>
    <tableColumn id="5" xr3:uid="{81751ED1-E9D0-4147-92F5-579DCA94240C}" name="post" dataDxfId="60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41E1E1-407E-4F3C-ABB2-499F08A30041}" name="grants" displayName="grants" ref="A1:P2" insertRow="1" insertRowShift="1" totalsRowShown="0" headerRowDxfId="59" dataDxfId="58">
  <autoFilter ref="A1:P2" xr:uid="{EF41E1E1-407E-4F3C-ABB2-499F08A30041}"/>
  <tableColumns count="16">
    <tableColumn id="1" xr3:uid="{9BD9C8B3-07FF-4658-A12D-05EBD2CEF4B4}" name="submitted" dataDxfId="57"/>
    <tableColumn id="2" xr3:uid="{1A349D58-14ED-4A56-A173-FD0004E10EAD}" name="status" dataDxfId="56"/>
    <tableColumn id="3" xr3:uid="{C639A9E3-D912-48C3-B288-4F76D325034A}" name="id" dataDxfId="55"/>
    <tableColumn id="4" xr3:uid="{EA31D961-6369-451B-A2D5-4E5710EE3DEA}" name="period" dataDxfId="54"/>
    <tableColumn id="5" xr3:uid="{25E02243-63FF-4664-B96E-79EFF0CF8BDE}" name="budget_total" dataDxfId="53"/>
    <tableColumn id="6" xr3:uid="{E0255963-7CEA-4F98-9D53-88BB48032F59}" name="budget_rtb" dataDxfId="52"/>
    <tableColumn id="7" xr3:uid="{CC972655-AC50-4552-A4C3-8BB3822E55DB}" name="budget_managed" dataDxfId="51"/>
    <tableColumn id="8" xr3:uid="{AC75FE1D-B315-44C0-8606-17F55F4B0AB9}" name="awarded" dataDxfId="50"/>
    <tableColumn id="9" xr3:uid="{8FB67679-E228-4591-9F18-BD3A5F88638D}" name="affiliated" dataDxfId="49"/>
    <tableColumn id="10" xr3:uid="{77778CB9-5910-4226-893D-950CB2C048D1}" name="external" dataDxfId="48"/>
    <tableColumn id="11" xr3:uid="{27A7130F-ED01-463F-A25B-0FCDAFB0BBFB}" name="pi" dataDxfId="47"/>
    <tableColumn id="12" xr3:uid="{17479C3D-B5C0-4B92-8745-6EBA4236923D}" name="copi" dataDxfId="46"/>
    <tableColumn id="13" xr3:uid="{7F4EBDB1-6488-4A22-B5AC-CC91BE35E0E9}" name="sponsor" dataDxfId="45"/>
    <tableColumn id="14" xr3:uid="{C28C7A7B-0566-4814-AFD1-B3579DFC8D64}" name="url" dataDxfId="44"/>
    <tableColumn id="15" xr3:uid="{E487D011-644E-496C-B870-BF9AA76052BA}" name="title" dataDxfId="43"/>
    <tableColumn id="16" xr3:uid="{0F8812F5-1707-4941-9739-9C37D9F58F3B}" name="collaborators" dataDxfId="4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39A57E-97F6-4B29-9B83-85435E8677DB}" name="awards" displayName="awards" ref="A1:D7" totalsRowShown="0" headerRowDxfId="41" dataDxfId="40">
  <autoFilter ref="A1:D7" xr:uid="{00000000-0001-0000-0500-000000000000}"/>
  <tableColumns count="4">
    <tableColumn id="1" xr3:uid="{E6D92D2D-D8DB-4EA3-8F46-D434F9CE6BD3}" name="date" dataDxfId="39"/>
    <tableColumn id="2" xr3:uid="{93086519-4AB9-4BBF-8966-9CED722EAF51}" name="category" dataDxfId="38"/>
    <tableColumn id="3" xr3:uid="{0BD21F6D-FAC1-4713-A621-2FA53F28B799}" name="description" dataDxfId="37"/>
    <tableColumn id="4" xr3:uid="{2963F74F-3E70-4DEA-A5AD-5292922F9E05}" name="url" dataDxfId="36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504D964-D8B4-478D-B2F7-173AE07403FF}" name="classes" displayName="classes" ref="A1:E3" totalsRowShown="0" headerRowDxfId="35" dataDxfId="34">
  <autoFilter ref="A1:E3" xr:uid="{3504D964-D8B4-478D-B2F7-173AE07403FF}"/>
  <tableColumns count="5">
    <tableColumn id="1" xr3:uid="{C6412679-A1DB-4F8D-B64C-EB8633C9EE29}" name="role" dataDxfId="33"/>
    <tableColumn id="2" xr3:uid="{48C3584E-FEBE-485A-8685-500F4CAF8984}" name="semester" dataDxfId="32"/>
    <tableColumn id="3" xr3:uid="{5F0E0F05-25AC-4E97-8C79-DF7111581A8B}" name="course_number" dataDxfId="31"/>
    <tableColumn id="4" xr3:uid="{786D1262-F6B5-4F6B-8563-360178093D8D}" name="course_title" dataDxfId="30"/>
    <tableColumn id="5" xr3:uid="{1A5BDF6B-5053-45B4-BAC6-FEB3C21E8A71}" name="number_of_students" dataDxfId="29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B92A73-CEE5-4441-A523-C6E4F21CE4D3}" name="teaching" displayName="teaching" ref="A1:G2" totalsRowShown="0" headerRowDxfId="28" dataDxfId="27">
  <autoFilter ref="A1:G2" xr:uid="{9DB92A73-CEE5-4441-A523-C6E4F21CE4D3}"/>
  <tableColumns count="7">
    <tableColumn id="1" xr3:uid="{C343A10E-749F-4C8A-8C88-F42B9D1495D1}" name="category" dataDxfId="26"/>
    <tableColumn id="2" xr3:uid="{614191FB-6C2D-4714-A4A6-F4930B965AE3}" name="date" dataDxfId="25"/>
    <tableColumn id="3" xr3:uid="{B7CD7735-7449-43B0-85D1-CE7FBAC9B50A}" name="title" dataDxfId="24"/>
    <tableColumn id="4" xr3:uid="{7EDF2711-E32C-4DA6-9576-0573E37BB2CD}" name="with"/>
    <tableColumn id="5" xr3:uid="{24508138-E827-437C-BC7B-AF62E12503EF}" name="host" dataDxfId="23"/>
    <tableColumn id="6" xr3:uid="{D3B86B0E-FB96-456A-BB2A-B6487DB88741}" name="location" dataDxfId="22"/>
    <tableColumn id="7" xr3:uid="{3C963FC3-BC16-417F-AF26-2EA9A70100BD}" name="url" dataDxfId="21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6E38E9C-BF20-420E-A12C-7A40FB59B529}" name="advising" displayName="advising" ref="A1:K7" totalsRowShown="0" headerRowDxfId="20" dataDxfId="19">
  <autoFilter ref="A1:K7" xr:uid="{D6E38E9C-BF20-420E-A12C-7A40FB59B529}"/>
  <tableColumns count="11">
    <tableColumn id="1" xr3:uid="{EE69CC50-EE1C-4789-9B7E-54CF02121736}" name="category" dataDxfId="18"/>
    <tableColumn id="2" xr3:uid="{874D6D0D-EFC3-41CF-8D1D-43B4BA1788A6}" name="complete" dataDxfId="17"/>
    <tableColumn id="3" xr3:uid="{F94A3346-477B-4DEE-9BBE-EF81EEAFC47E}" name="name" dataDxfId="16"/>
    <tableColumn id="4" xr3:uid="{E5AA3F98-57B2-47F2-BB7C-8526C6D61F70}" name="institution" dataDxfId="15"/>
    <tableColumn id="5" xr3:uid="{D032A480-9091-414E-86D2-48DD11B01A3D}" name="date_start" dataDxfId="14"/>
    <tableColumn id="6" xr3:uid="{092C9E33-C070-4FF6-852E-6A86CC1E3D91}" name="date_stop" dataDxfId="13"/>
    <tableColumn id="7" xr3:uid="{92ADA87F-72F8-4CC7-9B6B-4B8AF8208872}" name="defense_date" dataDxfId="12"/>
    <tableColumn id="8" xr3:uid="{84A7FA5A-60D2-4174-9A7C-01C1ED037CCB}" name="chair" dataDxfId="11"/>
    <tableColumn id="9" xr3:uid="{6565591B-8BC2-4D1A-8B87-DCABDA2216FE}" name="title" dataDxfId="10"/>
    <tableColumn id="10" xr3:uid="{C8E9EB52-E484-4D90-AD30-31B07F0FF813}" name="employment" dataDxfId="9"/>
    <tableColumn id="11" xr3:uid="{7C32E0B7-5318-4059-A9BC-BFCA9F14CDBB}" name="notes" dataDxfId="8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60B540-4974-4BA4-BEB5-070AC7E06EF3}" name="service" displayName="service" ref="A1:C4" totalsRowShown="0" headerRowDxfId="7">
  <autoFilter ref="A1:C4" xr:uid="{B160B540-4974-4BA4-BEB5-070AC7E06EF3}"/>
  <tableColumns count="3">
    <tableColumn id="1" xr3:uid="{FD5C9C30-4C78-406D-952B-309B41DB861C}" name="category" dataDxfId="6"/>
    <tableColumn id="2" xr3:uid="{913F0600-F7FD-4D41-A5E0-D76486F40FAE}" name="dates" dataDxfId="5"/>
    <tableColumn id="3" xr3:uid="{E01536FD-F027-41BB-9C38-9FDF8C254BAD}" name="activity" dataDxfId="4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CDD3037-2B9E-48B0-8942-C5BA2AF2CF9C}" name="reviews" displayName="reviews" ref="A1:C5" totalsRowShown="0" headerRowDxfId="3">
  <autoFilter ref="A1:C5" xr:uid="{2CDD3037-2B9E-48B0-8942-C5BA2AF2CF9C}"/>
  <tableColumns count="3">
    <tableColumn id="1" xr3:uid="{197F6F0D-1A58-4FD8-A580-5341678A810F}" name="category" dataDxfId="2"/>
    <tableColumn id="2" xr3:uid="{B86575C2-610C-4DAE-9BAE-BEE49E2B6269}" name="date" dataDxfId="1"/>
    <tableColumn id="3" xr3:uid="{05E07361-812C-4930-97AD-5E75982198FF}" name="org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0"/>
  <sheetViews>
    <sheetView tabSelected="1" zoomScale="80" zoomScaleNormal="80" workbookViewId="0">
      <pane ySplit="1" topLeftCell="A11" activePane="bottomLeft" state="frozen"/>
      <selection pane="bottomLeft" activeCell="G18" sqref="G18"/>
    </sheetView>
  </sheetViews>
  <sheetFormatPr defaultColWidth="12.6328125" defaultRowHeight="40" customHeight="1" x14ac:dyDescent="0.25"/>
  <cols>
    <col min="1" max="1" width="25.54296875" customWidth="1"/>
    <col min="2" max="2" width="18.7265625" customWidth="1"/>
    <col min="3" max="3" width="12.36328125" customWidth="1"/>
    <col min="4" max="4" width="51.08984375" customWidth="1"/>
    <col min="5" max="5" width="37.7265625" customWidth="1"/>
    <col min="6" max="6" width="28.36328125" customWidth="1"/>
    <col min="7" max="7" width="39" bestFit="1" customWidth="1"/>
    <col min="8" max="8" width="28" customWidth="1"/>
  </cols>
  <sheetData>
    <row r="1" spans="1:8" s="20" customFormat="1" ht="15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28" t="s">
        <v>6</v>
      </c>
      <c r="H1" s="19" t="s">
        <v>7</v>
      </c>
    </row>
    <row r="2" spans="1:8" ht="40" customHeight="1" x14ac:dyDescent="0.25">
      <c r="A2" s="1" t="s">
        <v>96</v>
      </c>
      <c r="B2" s="3">
        <v>42005</v>
      </c>
      <c r="C2" s="1">
        <v>2015</v>
      </c>
      <c r="D2" s="1" t="s">
        <v>100</v>
      </c>
      <c r="E2" s="29" t="s">
        <v>88</v>
      </c>
      <c r="F2" s="1" t="s">
        <v>89</v>
      </c>
      <c r="G2" s="2" t="s">
        <v>90</v>
      </c>
      <c r="H2" s="1"/>
    </row>
    <row r="3" spans="1:8" ht="40" customHeight="1" x14ac:dyDescent="0.25">
      <c r="A3" s="29" t="s">
        <v>107</v>
      </c>
      <c r="B3" s="31">
        <v>43252</v>
      </c>
      <c r="C3" s="29">
        <v>2018</v>
      </c>
      <c r="D3" s="29" t="s">
        <v>125</v>
      </c>
      <c r="E3" s="29" t="s">
        <v>108</v>
      </c>
      <c r="F3" s="29" t="s">
        <v>109</v>
      </c>
      <c r="G3" s="32" t="s">
        <v>110</v>
      </c>
      <c r="H3" s="29"/>
    </row>
    <row r="4" spans="1:8" ht="40" customHeight="1" x14ac:dyDescent="0.25">
      <c r="A4" s="29" t="s">
        <v>107</v>
      </c>
      <c r="B4" s="31">
        <v>43586</v>
      </c>
      <c r="C4" s="29">
        <v>2019</v>
      </c>
      <c r="D4" s="29" t="s">
        <v>126</v>
      </c>
      <c r="E4" s="29" t="s">
        <v>111</v>
      </c>
      <c r="F4" s="29" t="s">
        <v>109</v>
      </c>
      <c r="G4" s="32" t="s">
        <v>112</v>
      </c>
      <c r="H4" s="29"/>
    </row>
    <row r="5" spans="1:8" ht="40" customHeight="1" x14ac:dyDescent="0.25">
      <c r="A5" s="29" t="s">
        <v>107</v>
      </c>
      <c r="B5" s="31">
        <v>43678</v>
      </c>
      <c r="C5" s="29">
        <v>2019</v>
      </c>
      <c r="D5" s="29" t="s">
        <v>127</v>
      </c>
      <c r="E5" s="29" t="s">
        <v>113</v>
      </c>
      <c r="F5" s="29" t="s">
        <v>114</v>
      </c>
      <c r="G5" s="32" t="s">
        <v>115</v>
      </c>
      <c r="H5" s="29"/>
    </row>
    <row r="6" spans="1:8" ht="40" customHeight="1" x14ac:dyDescent="0.25">
      <c r="A6" s="1" t="s">
        <v>96</v>
      </c>
      <c r="B6" s="3">
        <v>43831</v>
      </c>
      <c r="C6" s="1">
        <v>2020</v>
      </c>
      <c r="D6" s="1" t="s">
        <v>98</v>
      </c>
      <c r="E6" s="29" t="s">
        <v>91</v>
      </c>
      <c r="F6" s="29" t="s">
        <v>92</v>
      </c>
      <c r="G6" s="32" t="s">
        <v>141</v>
      </c>
      <c r="H6" s="29" t="s">
        <v>140</v>
      </c>
    </row>
    <row r="7" spans="1:8" ht="40" customHeight="1" x14ac:dyDescent="0.25">
      <c r="A7" s="1" t="s">
        <v>96</v>
      </c>
      <c r="B7" s="3">
        <v>43831</v>
      </c>
      <c r="C7" s="1">
        <v>2020</v>
      </c>
      <c r="D7" s="1" t="s">
        <v>99</v>
      </c>
      <c r="E7" s="1" t="s">
        <v>93</v>
      </c>
      <c r="F7" s="1" t="s">
        <v>94</v>
      </c>
      <c r="G7" s="32" t="s">
        <v>143</v>
      </c>
      <c r="H7" s="29" t="s">
        <v>142</v>
      </c>
    </row>
    <row r="8" spans="1:8" ht="40" customHeight="1" x14ac:dyDescent="0.25">
      <c r="A8" s="29" t="s">
        <v>107</v>
      </c>
      <c r="B8" s="31">
        <v>43952</v>
      </c>
      <c r="C8" s="29">
        <v>2020</v>
      </c>
      <c r="D8" s="29" t="s">
        <v>128</v>
      </c>
      <c r="E8" s="29" t="s">
        <v>116</v>
      </c>
      <c r="F8" s="29" t="s">
        <v>109</v>
      </c>
      <c r="G8" s="32" t="s">
        <v>117</v>
      </c>
      <c r="H8" s="29"/>
    </row>
    <row r="9" spans="1:8" ht="40" customHeight="1" x14ac:dyDescent="0.25">
      <c r="A9" s="29" t="s">
        <v>107</v>
      </c>
      <c r="B9" s="31">
        <v>44067</v>
      </c>
      <c r="C9" s="29">
        <v>2020</v>
      </c>
      <c r="D9" s="29" t="s">
        <v>130</v>
      </c>
      <c r="E9" s="29" t="s">
        <v>121</v>
      </c>
      <c r="F9" s="29" t="s">
        <v>119</v>
      </c>
      <c r="G9" s="32" t="s">
        <v>120</v>
      </c>
      <c r="H9" s="29"/>
    </row>
    <row r="10" spans="1:8" ht="40" customHeight="1" x14ac:dyDescent="0.25">
      <c r="A10" s="29" t="s">
        <v>107</v>
      </c>
      <c r="B10" s="31">
        <v>44409</v>
      </c>
      <c r="C10" s="29">
        <v>2021</v>
      </c>
      <c r="D10" s="29" t="s">
        <v>129</v>
      </c>
      <c r="E10" s="29" t="s">
        <v>118</v>
      </c>
      <c r="F10" s="29" t="s">
        <v>119</v>
      </c>
      <c r="G10" s="32" t="s">
        <v>120</v>
      </c>
      <c r="H10" s="29"/>
    </row>
    <row r="11" spans="1:8" ht="40" customHeight="1" x14ac:dyDescent="0.25">
      <c r="A11" s="1" t="s">
        <v>96</v>
      </c>
      <c r="B11" s="30">
        <v>45047</v>
      </c>
      <c r="C11" s="1">
        <v>2023</v>
      </c>
      <c r="D11" s="1" t="s">
        <v>97</v>
      </c>
      <c r="E11" s="29" t="s">
        <v>95</v>
      </c>
      <c r="F11" s="1" t="s">
        <v>137</v>
      </c>
      <c r="G11" s="32" t="s">
        <v>138</v>
      </c>
      <c r="H11" s="29" t="s">
        <v>139</v>
      </c>
    </row>
    <row r="12" spans="1:8" ht="40" customHeight="1" x14ac:dyDescent="0.25">
      <c r="A12" s="29" t="s">
        <v>107</v>
      </c>
      <c r="B12" s="31">
        <v>45047</v>
      </c>
      <c r="C12" s="29">
        <v>2023</v>
      </c>
      <c r="D12" s="29" t="s">
        <v>131</v>
      </c>
      <c r="E12" s="29" t="s">
        <v>122</v>
      </c>
      <c r="F12" s="29" t="s">
        <v>109</v>
      </c>
      <c r="G12" s="32" t="s">
        <v>134</v>
      </c>
      <c r="H12" s="29"/>
    </row>
    <row r="13" spans="1:8" ht="40" customHeight="1" x14ac:dyDescent="0.25">
      <c r="A13" s="29" t="s">
        <v>103</v>
      </c>
      <c r="B13" s="30">
        <v>45423</v>
      </c>
      <c r="C13" s="1">
        <v>2024</v>
      </c>
      <c r="D13" s="29" t="s">
        <v>101</v>
      </c>
      <c r="E13" s="1" t="s">
        <v>102</v>
      </c>
      <c r="F13" s="1" t="s">
        <v>104</v>
      </c>
      <c r="G13" s="2" t="s">
        <v>105</v>
      </c>
      <c r="H13" s="29" t="s">
        <v>106</v>
      </c>
    </row>
    <row r="14" spans="1:8" ht="40" customHeight="1" x14ac:dyDescent="0.25">
      <c r="A14" s="29" t="s">
        <v>107</v>
      </c>
      <c r="B14" s="31">
        <v>45444</v>
      </c>
      <c r="C14" s="29">
        <v>2024</v>
      </c>
      <c r="D14" s="29" t="s">
        <v>133</v>
      </c>
      <c r="E14" s="29" t="s">
        <v>124</v>
      </c>
      <c r="F14" s="29" t="s">
        <v>135</v>
      </c>
      <c r="G14" s="32" t="s">
        <v>136</v>
      </c>
      <c r="H14" s="29"/>
    </row>
    <row r="15" spans="1:8" ht="40" customHeight="1" x14ac:dyDescent="0.25">
      <c r="A15" s="29" t="s">
        <v>107</v>
      </c>
      <c r="B15" s="31">
        <v>45505</v>
      </c>
      <c r="C15" s="29">
        <v>2024</v>
      </c>
      <c r="D15" s="29" t="s">
        <v>132</v>
      </c>
      <c r="E15" s="29" t="s">
        <v>123</v>
      </c>
      <c r="F15" s="29" t="s">
        <v>119</v>
      </c>
      <c r="G15" s="32" t="s">
        <v>120</v>
      </c>
      <c r="H15" s="29"/>
    </row>
    <row r="16" spans="1:8" ht="40" customHeight="1" x14ac:dyDescent="0.25">
      <c r="A16" s="1" t="s">
        <v>107</v>
      </c>
      <c r="B16" s="37">
        <v>45835</v>
      </c>
      <c r="C16" s="1">
        <v>2025</v>
      </c>
      <c r="D16" s="29" t="s">
        <v>155</v>
      </c>
      <c r="E16" s="1" t="s">
        <v>156</v>
      </c>
      <c r="F16" s="29" t="s">
        <v>157</v>
      </c>
      <c r="G16" s="2" t="s">
        <v>158</v>
      </c>
      <c r="H16" s="1"/>
    </row>
    <row r="17" spans="1:8" ht="40" customHeight="1" x14ac:dyDescent="0.25">
      <c r="A17" s="1" t="s">
        <v>107</v>
      </c>
      <c r="B17" s="37">
        <v>45835</v>
      </c>
      <c r="C17" s="29">
        <v>2025</v>
      </c>
      <c r="D17" s="29" t="s">
        <v>159</v>
      </c>
      <c r="E17" s="29" t="s">
        <v>160</v>
      </c>
      <c r="F17" s="29" t="s">
        <v>157</v>
      </c>
      <c r="G17" s="2" t="s">
        <v>158</v>
      </c>
      <c r="H17" s="29"/>
    </row>
    <row r="18" spans="1:8" ht="40" customHeight="1" x14ac:dyDescent="0.25">
      <c r="A18" s="1" t="s">
        <v>107</v>
      </c>
      <c r="B18" s="31">
        <v>45804</v>
      </c>
      <c r="C18" s="29">
        <v>2025</v>
      </c>
      <c r="D18" s="29" t="s">
        <v>161</v>
      </c>
      <c r="E18" s="29" t="s">
        <v>163</v>
      </c>
      <c r="F18" s="29" t="s">
        <v>109</v>
      </c>
      <c r="G18" s="32" t="s">
        <v>162</v>
      </c>
      <c r="H18" s="29"/>
    </row>
    <row r="19" spans="1:8" ht="40" customHeight="1" x14ac:dyDescent="0.25">
      <c r="A19" s="29" t="s">
        <v>107</v>
      </c>
      <c r="B19" s="31">
        <v>45804</v>
      </c>
      <c r="C19" s="29">
        <v>2025</v>
      </c>
      <c r="D19" s="29" t="s">
        <v>164</v>
      </c>
      <c r="E19" s="29" t="s">
        <v>165</v>
      </c>
      <c r="F19" s="29" t="s">
        <v>109</v>
      </c>
      <c r="G19" s="32" t="s">
        <v>162</v>
      </c>
      <c r="H19" s="29"/>
    </row>
    <row r="20" spans="1:8" ht="40" customHeight="1" x14ac:dyDescent="0.25">
      <c r="A20" s="29" t="s">
        <v>107</v>
      </c>
      <c r="B20" s="31">
        <v>45804</v>
      </c>
      <c r="C20" s="29">
        <v>2025</v>
      </c>
      <c r="D20" s="29" t="s">
        <v>166</v>
      </c>
      <c r="E20" s="29" t="s">
        <v>167</v>
      </c>
      <c r="F20" s="29" t="s">
        <v>109</v>
      </c>
      <c r="G20" s="32" t="s">
        <v>162</v>
      </c>
      <c r="H20" s="2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8"/>
  <sheetViews>
    <sheetView zoomScale="90" zoomScaleNormal="90" workbookViewId="0">
      <pane ySplit="1" topLeftCell="A4" activePane="bottomLeft" state="frozen"/>
      <selection pane="bottomLeft"/>
    </sheetView>
  </sheetViews>
  <sheetFormatPr defaultColWidth="12.6328125" defaultRowHeight="15.75" customHeight="1" x14ac:dyDescent="0.25"/>
  <cols>
    <col min="1" max="1" width="13.26953125" customWidth="1"/>
    <col min="2" max="2" width="11.36328125" customWidth="1"/>
    <col min="3" max="3" width="35.90625" customWidth="1"/>
    <col min="6" max="6" width="25" customWidth="1"/>
    <col min="7" max="7" width="12.7265625" customWidth="1"/>
  </cols>
  <sheetData>
    <row r="1" spans="1:8" s="20" customFormat="1" ht="15.75" customHeight="1" x14ac:dyDescent="0.25">
      <c r="A1" s="19" t="s">
        <v>0</v>
      </c>
      <c r="B1" s="21" t="s">
        <v>10</v>
      </c>
      <c r="C1" s="19" t="s">
        <v>4</v>
      </c>
      <c r="D1" s="19" t="s">
        <v>11</v>
      </c>
      <c r="E1" s="19" t="s">
        <v>12</v>
      </c>
      <c r="F1" s="19" t="s">
        <v>13</v>
      </c>
      <c r="G1" s="19" t="s">
        <v>14</v>
      </c>
      <c r="H1" s="19" t="s">
        <v>15</v>
      </c>
    </row>
    <row r="2" spans="1:8" ht="15.75" customHeight="1" x14ac:dyDescent="0.25">
      <c r="A2" s="1" t="s">
        <v>8</v>
      </c>
      <c r="B2" s="9">
        <v>41415</v>
      </c>
      <c r="C2" s="1" t="s">
        <v>16</v>
      </c>
      <c r="D2" s="1"/>
      <c r="E2" s="1"/>
      <c r="F2" s="1" t="s">
        <v>17</v>
      </c>
      <c r="G2" s="1" t="s">
        <v>18</v>
      </c>
      <c r="H2" s="1"/>
    </row>
    <row r="3" spans="1:8" ht="15.75" customHeight="1" x14ac:dyDescent="0.25">
      <c r="A3" s="1" t="s">
        <v>19</v>
      </c>
      <c r="B3" s="9">
        <v>41483</v>
      </c>
      <c r="C3" s="1" t="s">
        <v>16</v>
      </c>
      <c r="D3" s="1"/>
      <c r="E3" s="1"/>
      <c r="F3" s="1" t="s">
        <v>20</v>
      </c>
      <c r="G3" s="1" t="s">
        <v>21</v>
      </c>
      <c r="H3" s="1"/>
    </row>
    <row r="4" spans="1:8" ht="15.75" customHeight="1" x14ac:dyDescent="0.25">
      <c r="A4" s="2" t="s">
        <v>22</v>
      </c>
      <c r="B4" s="9"/>
      <c r="C4" s="1"/>
      <c r="D4" s="1"/>
      <c r="E4" s="1"/>
      <c r="F4" s="1"/>
      <c r="G4" s="1"/>
      <c r="H4" s="1"/>
    </row>
    <row r="5" spans="1:8" ht="15.75" customHeight="1" x14ac:dyDescent="0.25">
      <c r="A5" s="1" t="s">
        <v>23</v>
      </c>
      <c r="B5" s="9"/>
      <c r="C5" s="1"/>
      <c r="D5" s="1"/>
      <c r="E5" s="1"/>
      <c r="F5" s="1"/>
      <c r="G5" s="1"/>
      <c r="H5" s="4"/>
    </row>
    <row r="6" spans="1:8" ht="15.75" customHeight="1" x14ac:dyDescent="0.25">
      <c r="A6" s="1" t="s">
        <v>24</v>
      </c>
      <c r="B6" s="9"/>
      <c r="C6" s="1"/>
      <c r="D6" s="1"/>
      <c r="E6" s="1"/>
      <c r="F6" s="1"/>
      <c r="G6" s="1"/>
      <c r="H6" s="1"/>
    </row>
    <row r="7" spans="1:8" ht="13" x14ac:dyDescent="0.25">
      <c r="A7" s="1" t="s">
        <v>19</v>
      </c>
      <c r="B7" s="9"/>
      <c r="C7" s="1"/>
      <c r="D7" s="1"/>
      <c r="E7" s="1"/>
      <c r="F7" s="1"/>
      <c r="G7" s="1"/>
      <c r="H7" s="1"/>
    </row>
    <row r="8" spans="1:8" ht="13" x14ac:dyDescent="0.25">
      <c r="A8" s="1" t="s">
        <v>25</v>
      </c>
      <c r="B8" s="9"/>
      <c r="C8" s="1"/>
      <c r="D8" s="1"/>
      <c r="E8" s="1"/>
      <c r="F8" s="1"/>
      <c r="G8" s="1"/>
      <c r="H8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3"/>
  <sheetViews>
    <sheetView zoomScale="90" zoomScaleNormal="90" workbookViewId="0">
      <selection activeCell="C2" sqref="C2:D3"/>
    </sheetView>
  </sheetViews>
  <sheetFormatPr defaultColWidth="12.6328125" defaultRowHeight="15.75" customHeight="1" x14ac:dyDescent="0.25"/>
  <cols>
    <col min="1" max="1" width="15" customWidth="1"/>
    <col min="2" max="2" width="19.26953125" customWidth="1"/>
    <col min="3" max="4" width="18.36328125" customWidth="1"/>
    <col min="5" max="5" width="81.36328125" customWidth="1"/>
  </cols>
  <sheetData>
    <row r="1" spans="1:5" s="20" customFormat="1" ht="15.75" customHeight="1" x14ac:dyDescent="0.25">
      <c r="A1" s="19" t="s">
        <v>10</v>
      </c>
      <c r="B1" s="19" t="s">
        <v>26</v>
      </c>
      <c r="C1" s="19" t="s">
        <v>27</v>
      </c>
      <c r="D1" s="19" t="s">
        <v>28</v>
      </c>
      <c r="E1" s="19" t="s">
        <v>29</v>
      </c>
    </row>
    <row r="2" spans="1:5" ht="15.75" customHeight="1" x14ac:dyDescent="0.25">
      <c r="A2" s="10"/>
      <c r="B2" s="5">
        <v>0</v>
      </c>
      <c r="C2" s="38" t="s">
        <v>84</v>
      </c>
      <c r="D2" s="39" t="s">
        <v>84</v>
      </c>
      <c r="E2" s="5" t="s">
        <v>85</v>
      </c>
    </row>
    <row r="3" spans="1:5" ht="15.75" customHeight="1" x14ac:dyDescent="0.25">
      <c r="A3" s="10"/>
      <c r="B3" s="5">
        <v>1</v>
      </c>
      <c r="C3" s="38" t="s">
        <v>84</v>
      </c>
      <c r="D3" s="39" t="s">
        <v>84</v>
      </c>
      <c r="E3" s="5" t="s">
        <v>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29"/>
  <sheetViews>
    <sheetView zoomScale="90" zoomScaleNormal="90" workbookViewId="0">
      <pane ySplit="1" topLeftCell="A2" activePane="bottomLeft" state="frozen"/>
      <selection pane="bottomLeft"/>
    </sheetView>
  </sheetViews>
  <sheetFormatPr defaultColWidth="12.6328125" defaultRowHeight="15.75" customHeight="1" x14ac:dyDescent="0.25"/>
  <cols>
    <col min="1" max="1" width="14.90625" customWidth="1"/>
    <col min="2" max="2" width="10.81640625" bestFit="1" customWidth="1"/>
    <col min="3" max="3" width="7.26953125" customWidth="1"/>
    <col min="4" max="4" width="19.90625" customWidth="1"/>
    <col min="5" max="5" width="20.26953125" customWidth="1"/>
    <col min="6" max="6" width="20.36328125" customWidth="1"/>
    <col min="7" max="16" width="20.6328125" customWidth="1"/>
  </cols>
  <sheetData>
    <row r="1" spans="1:16" s="20" customFormat="1" ht="15.75" customHeight="1" x14ac:dyDescent="0.35">
      <c r="A1" s="22" t="s">
        <v>30</v>
      </c>
      <c r="B1" s="22" t="s">
        <v>31</v>
      </c>
      <c r="C1" s="22" t="s">
        <v>32</v>
      </c>
      <c r="D1" s="22" t="s">
        <v>33</v>
      </c>
      <c r="E1" s="23" t="s">
        <v>34</v>
      </c>
      <c r="F1" s="24" t="s">
        <v>86</v>
      </c>
      <c r="G1" s="22" t="s">
        <v>35</v>
      </c>
      <c r="H1" s="22" t="s">
        <v>36</v>
      </c>
      <c r="I1" s="22" t="s">
        <v>37</v>
      </c>
      <c r="J1" s="22" t="s">
        <v>38</v>
      </c>
      <c r="K1" s="22" t="s">
        <v>39</v>
      </c>
      <c r="L1" s="22" t="s">
        <v>40</v>
      </c>
      <c r="M1" s="22" t="s">
        <v>41</v>
      </c>
      <c r="N1" s="22" t="s">
        <v>15</v>
      </c>
      <c r="O1" s="22" t="s">
        <v>4</v>
      </c>
      <c r="P1" s="22" t="s">
        <v>42</v>
      </c>
    </row>
    <row r="2" spans="1:16" ht="15.75" customHeight="1" x14ac:dyDescent="0.35">
      <c r="A2" s="6"/>
      <c r="B2" s="6"/>
      <c r="C2" s="6"/>
      <c r="D2" s="6"/>
      <c r="E2" s="12"/>
      <c r="F2" s="17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.75" customHeight="1" x14ac:dyDescent="0.35">
      <c r="A3" s="13"/>
      <c r="B3" s="13"/>
      <c r="C3" s="6"/>
      <c r="D3" s="6"/>
      <c r="E3" s="12"/>
      <c r="F3" s="12"/>
      <c r="G3" s="12"/>
      <c r="H3" s="6"/>
      <c r="I3" s="6"/>
      <c r="J3" s="6"/>
      <c r="K3" s="6"/>
      <c r="L3" s="6"/>
      <c r="M3" s="6"/>
      <c r="N3" s="6"/>
      <c r="O3" s="6"/>
      <c r="P3" s="6"/>
    </row>
    <row r="4" spans="1:16" ht="15.75" customHeight="1" x14ac:dyDescent="0.35">
      <c r="A4" s="13"/>
      <c r="B4" s="13"/>
      <c r="C4" s="6"/>
      <c r="D4" s="6"/>
      <c r="E4" s="12"/>
      <c r="F4" s="12"/>
      <c r="G4" s="12"/>
      <c r="H4" s="6"/>
      <c r="I4" s="6"/>
      <c r="J4" s="6"/>
      <c r="K4" s="6"/>
      <c r="L4" s="6"/>
      <c r="M4" s="6"/>
      <c r="N4" s="6"/>
      <c r="O4" s="6"/>
      <c r="P4" s="6"/>
    </row>
    <row r="5" spans="1:16" ht="15.75" customHeight="1" x14ac:dyDescent="0.35">
      <c r="A5" s="13"/>
      <c r="B5" s="13"/>
      <c r="C5" s="6"/>
      <c r="D5" s="6"/>
      <c r="E5" s="12"/>
      <c r="F5" s="12"/>
      <c r="G5" s="12"/>
      <c r="H5" s="6"/>
      <c r="I5" s="6"/>
      <c r="J5" s="6"/>
      <c r="K5" s="6"/>
      <c r="L5" s="6"/>
      <c r="M5" s="6"/>
      <c r="N5" s="6"/>
      <c r="O5" s="6"/>
      <c r="P5" s="6"/>
    </row>
    <row r="6" spans="1:16" ht="15.75" customHeight="1" x14ac:dyDescent="0.35">
      <c r="A6" s="13"/>
      <c r="B6" s="13"/>
      <c r="C6" s="6"/>
      <c r="D6" s="6"/>
      <c r="E6" s="12"/>
      <c r="F6" s="12"/>
      <c r="G6" s="12"/>
      <c r="H6" s="6"/>
      <c r="I6" s="6"/>
      <c r="J6" s="6"/>
      <c r="K6" s="6"/>
      <c r="L6" s="6"/>
      <c r="M6" s="6"/>
      <c r="N6" s="6"/>
      <c r="O6" s="6"/>
      <c r="P6" s="6"/>
    </row>
    <row r="7" spans="1:16" ht="15.75" customHeight="1" x14ac:dyDescent="0.35">
      <c r="A7" s="13"/>
      <c r="B7" s="13"/>
      <c r="C7" s="6"/>
      <c r="D7" s="6"/>
      <c r="E7" s="12"/>
      <c r="F7" s="12"/>
      <c r="G7" s="12"/>
      <c r="H7" s="6"/>
      <c r="I7" s="6"/>
      <c r="J7" s="6"/>
      <c r="K7" s="6"/>
      <c r="L7" s="6"/>
      <c r="M7" s="6"/>
      <c r="N7" s="6"/>
      <c r="O7" s="6"/>
      <c r="P7" s="6"/>
    </row>
    <row r="8" spans="1:16" ht="15.75" customHeight="1" x14ac:dyDescent="0.35">
      <c r="A8" s="13"/>
      <c r="B8" s="13"/>
      <c r="C8" s="6"/>
      <c r="D8" s="6"/>
      <c r="E8" s="12"/>
      <c r="F8" s="12"/>
      <c r="G8" s="12"/>
      <c r="H8" s="6"/>
      <c r="I8" s="6"/>
      <c r="J8" s="6"/>
      <c r="K8" s="6"/>
      <c r="L8" s="6"/>
      <c r="M8" s="6"/>
      <c r="N8" s="6"/>
      <c r="O8" s="6"/>
      <c r="P8" s="6"/>
    </row>
    <row r="9" spans="1:16" ht="15.75" customHeight="1" x14ac:dyDescent="0.35">
      <c r="A9" s="13"/>
      <c r="B9" s="13"/>
      <c r="C9" s="6"/>
      <c r="D9" s="6"/>
      <c r="E9" s="12"/>
      <c r="F9" s="12"/>
      <c r="G9" s="12"/>
      <c r="H9" s="6"/>
      <c r="I9" s="6"/>
      <c r="J9" s="6"/>
      <c r="K9" s="6"/>
      <c r="L9" s="6"/>
      <c r="M9" s="6"/>
      <c r="N9" s="6"/>
      <c r="O9" s="6"/>
      <c r="P9" s="6"/>
    </row>
    <row r="10" spans="1:16" ht="15.75" customHeight="1" x14ac:dyDescent="0.35">
      <c r="A10" s="13"/>
      <c r="B10" s="13"/>
      <c r="C10" s="6"/>
      <c r="D10" s="6"/>
      <c r="E10" s="12"/>
      <c r="F10" s="12"/>
      <c r="G10" s="12"/>
      <c r="H10" s="6"/>
      <c r="I10" s="6"/>
      <c r="J10" s="6"/>
      <c r="K10" s="6"/>
      <c r="L10" s="6"/>
      <c r="M10" s="6"/>
      <c r="N10" s="6"/>
      <c r="O10" s="6"/>
      <c r="P10" s="6"/>
    </row>
    <row r="11" spans="1:16" ht="15.75" customHeight="1" x14ac:dyDescent="0.35">
      <c r="A11" s="13"/>
      <c r="B11" s="13"/>
      <c r="C11" s="6"/>
      <c r="D11" s="6"/>
      <c r="E11" s="12"/>
      <c r="F11" s="12"/>
      <c r="G11" s="12"/>
      <c r="H11" s="6"/>
      <c r="I11" s="6"/>
      <c r="J11" s="6"/>
      <c r="K11" s="6"/>
      <c r="L11" s="6"/>
      <c r="M11" s="6"/>
      <c r="N11" s="6"/>
      <c r="O11" s="6"/>
      <c r="P11" s="6"/>
    </row>
    <row r="12" spans="1:16" ht="15.75" customHeight="1" x14ac:dyDescent="0.35">
      <c r="A12" s="13"/>
      <c r="B12" s="13"/>
      <c r="C12" s="6"/>
      <c r="D12" s="6"/>
      <c r="E12" s="12"/>
      <c r="F12" s="12"/>
      <c r="G12" s="12"/>
      <c r="H12" s="6"/>
      <c r="I12" s="6"/>
      <c r="J12" s="6"/>
      <c r="K12" s="6"/>
      <c r="L12" s="6"/>
      <c r="M12" s="6"/>
      <c r="N12" s="6"/>
      <c r="O12" s="6"/>
      <c r="P12" s="6"/>
    </row>
    <row r="13" spans="1:16" ht="15.75" customHeight="1" x14ac:dyDescent="0.35">
      <c r="A13" s="13"/>
      <c r="B13" s="13"/>
      <c r="C13" s="6"/>
      <c r="D13" s="6"/>
      <c r="E13" s="12"/>
      <c r="F13" s="12"/>
      <c r="G13" s="12"/>
      <c r="H13" s="6"/>
      <c r="I13" s="6"/>
      <c r="J13" s="6"/>
      <c r="K13" s="6"/>
      <c r="L13" s="6"/>
      <c r="M13" s="6"/>
      <c r="N13" s="14"/>
      <c r="O13" s="6"/>
      <c r="P13" s="6"/>
    </row>
    <row r="14" spans="1:16" ht="15.75" customHeight="1" x14ac:dyDescent="0.35">
      <c r="A14" s="13"/>
      <c r="B14" s="13"/>
      <c r="C14" s="6"/>
      <c r="D14" s="6"/>
      <c r="E14" s="12"/>
      <c r="F14" s="12"/>
      <c r="G14" s="12"/>
      <c r="H14" s="6"/>
      <c r="I14" s="6"/>
      <c r="J14" s="6"/>
      <c r="K14" s="6"/>
      <c r="L14" s="6"/>
      <c r="M14" s="6"/>
      <c r="N14" s="14"/>
      <c r="O14" s="6"/>
      <c r="P14" s="6"/>
    </row>
    <row r="15" spans="1:16" ht="15.75" customHeight="1" x14ac:dyDescent="0.35">
      <c r="A15" s="13"/>
      <c r="B15" s="13"/>
      <c r="C15" s="6"/>
      <c r="D15" s="6"/>
      <c r="E15" s="12"/>
      <c r="F15" s="12"/>
      <c r="G15" s="12"/>
      <c r="H15" s="6"/>
      <c r="I15" s="6"/>
      <c r="J15" s="6"/>
      <c r="K15" s="6"/>
      <c r="L15" s="6"/>
      <c r="M15" s="6"/>
      <c r="N15" s="6"/>
      <c r="O15" s="6"/>
      <c r="P15" s="6"/>
    </row>
    <row r="16" spans="1:16" ht="15.75" customHeight="1" x14ac:dyDescent="0.35">
      <c r="A16" s="13"/>
      <c r="B16" s="13"/>
      <c r="C16" s="6"/>
      <c r="D16" s="6"/>
      <c r="E16" s="12"/>
      <c r="F16" s="12"/>
      <c r="G16" s="12"/>
      <c r="H16" s="6"/>
      <c r="I16" s="6"/>
      <c r="J16" s="6"/>
      <c r="K16" s="6"/>
      <c r="L16" s="6"/>
      <c r="M16" s="6"/>
      <c r="N16" s="6"/>
      <c r="O16" s="6"/>
      <c r="P16" s="6"/>
    </row>
    <row r="17" spans="1:16" ht="15.75" customHeight="1" x14ac:dyDescent="0.35">
      <c r="A17" s="13"/>
      <c r="B17" s="13"/>
      <c r="C17" s="6"/>
      <c r="D17" s="6"/>
      <c r="E17" s="12"/>
      <c r="F17" s="12"/>
      <c r="G17" s="12"/>
      <c r="H17" s="6"/>
      <c r="I17" s="6"/>
      <c r="J17" s="6"/>
      <c r="K17" s="6"/>
      <c r="L17" s="6"/>
      <c r="M17" s="6"/>
      <c r="N17" s="6"/>
      <c r="O17" s="6"/>
      <c r="P17" s="6"/>
    </row>
    <row r="18" spans="1:16" ht="15.75" customHeight="1" x14ac:dyDescent="0.35">
      <c r="A18" s="13"/>
      <c r="B18" s="13"/>
      <c r="C18" s="6"/>
      <c r="D18" s="6"/>
      <c r="E18" s="12"/>
      <c r="F18" s="12"/>
      <c r="G18" s="12"/>
      <c r="H18" s="6"/>
      <c r="I18" s="6"/>
      <c r="J18" s="6"/>
      <c r="K18" s="6"/>
      <c r="L18" s="6"/>
      <c r="M18" s="6"/>
      <c r="N18" s="6"/>
      <c r="O18" s="6"/>
      <c r="P18" s="6"/>
    </row>
    <row r="19" spans="1:16" ht="15.75" customHeight="1" x14ac:dyDescent="0.35">
      <c r="A19" s="13"/>
      <c r="B19" s="13"/>
      <c r="C19" s="6"/>
      <c r="D19" s="6"/>
      <c r="E19" s="12"/>
      <c r="F19" s="12"/>
      <c r="G19" s="12"/>
      <c r="H19" s="6"/>
      <c r="I19" s="6"/>
      <c r="J19" s="6"/>
      <c r="K19" s="6"/>
      <c r="L19" s="6"/>
      <c r="M19" s="6"/>
      <c r="N19" s="14"/>
      <c r="O19" s="6"/>
      <c r="P19" s="6"/>
    </row>
    <row r="20" spans="1:16" ht="15.75" customHeight="1" x14ac:dyDescent="0.35">
      <c r="A20" s="13"/>
      <c r="B20" s="13"/>
      <c r="C20" s="6"/>
      <c r="D20" s="6"/>
      <c r="E20" s="12"/>
      <c r="F20" s="12"/>
      <c r="G20" s="12"/>
      <c r="H20" s="6"/>
      <c r="I20" s="6"/>
      <c r="J20" s="6"/>
      <c r="K20" s="6"/>
      <c r="L20" s="6"/>
      <c r="M20" s="6"/>
      <c r="N20" s="14"/>
      <c r="O20" s="6"/>
      <c r="P20" s="6"/>
    </row>
    <row r="21" spans="1:16" ht="15.75" customHeight="1" x14ac:dyDescent="0.35">
      <c r="A21" s="13"/>
      <c r="B21" s="13"/>
      <c r="C21" s="6"/>
      <c r="D21" s="6"/>
      <c r="E21" s="12"/>
      <c r="F21" s="12"/>
      <c r="G21" s="12"/>
      <c r="H21" s="6"/>
      <c r="I21" s="6"/>
      <c r="J21" s="6"/>
      <c r="K21" s="6"/>
      <c r="L21" s="6"/>
      <c r="M21" s="6"/>
      <c r="N21" s="6"/>
      <c r="O21" s="6"/>
      <c r="P21" s="6"/>
    </row>
    <row r="22" spans="1:16" ht="15.75" customHeight="1" x14ac:dyDescent="0.35">
      <c r="A22" s="13"/>
      <c r="B22" s="13"/>
      <c r="C22" s="6"/>
      <c r="D22" s="6"/>
      <c r="E22" s="12"/>
      <c r="F22" s="12"/>
      <c r="G22" s="12"/>
      <c r="H22" s="6"/>
      <c r="I22" s="6"/>
      <c r="J22" s="6"/>
      <c r="K22" s="6"/>
      <c r="L22" s="6"/>
      <c r="M22" s="6"/>
      <c r="N22" s="14"/>
      <c r="O22" s="6"/>
      <c r="P22" s="6"/>
    </row>
    <row r="23" spans="1:16" ht="15.75" customHeight="1" x14ac:dyDescent="0.35">
      <c r="A23" s="13"/>
      <c r="B23" s="13"/>
      <c r="C23" s="6"/>
      <c r="D23" s="6"/>
      <c r="E23" s="12"/>
      <c r="F23" s="12"/>
      <c r="G23" s="12"/>
      <c r="H23" s="6"/>
      <c r="I23" s="6"/>
      <c r="J23" s="6"/>
      <c r="K23" s="6"/>
      <c r="L23" s="6"/>
      <c r="M23" s="6"/>
      <c r="N23" s="14"/>
      <c r="O23" s="6"/>
      <c r="P23" s="6"/>
    </row>
    <row r="24" spans="1:16" ht="15.75" customHeight="1" x14ac:dyDescent="0.35">
      <c r="A24" s="13"/>
      <c r="B24" s="13"/>
      <c r="C24" s="6"/>
      <c r="D24" s="6"/>
      <c r="E24" s="12"/>
      <c r="F24" s="12"/>
      <c r="G24" s="12"/>
      <c r="H24" s="6"/>
      <c r="I24" s="6"/>
      <c r="J24" s="6"/>
      <c r="K24" s="6"/>
      <c r="L24" s="6"/>
      <c r="M24" s="6"/>
      <c r="N24" s="14"/>
      <c r="O24" s="6"/>
      <c r="P24" s="6"/>
    </row>
    <row r="25" spans="1:16" ht="15.75" customHeight="1" x14ac:dyDescent="0.35">
      <c r="A25" s="13"/>
      <c r="B25" s="13"/>
      <c r="C25" s="6"/>
      <c r="D25" s="6"/>
      <c r="E25" s="12"/>
      <c r="F25" s="12"/>
      <c r="G25" s="12"/>
      <c r="H25" s="6"/>
      <c r="I25" s="6"/>
      <c r="J25" s="6"/>
      <c r="K25" s="6"/>
      <c r="L25" s="6"/>
      <c r="M25" s="6"/>
      <c r="N25" s="14"/>
      <c r="O25" s="6"/>
      <c r="P25" s="6"/>
    </row>
    <row r="26" spans="1:16" ht="15.75" customHeight="1" x14ac:dyDescent="0.35">
      <c r="A26" s="13"/>
      <c r="B26" s="13"/>
      <c r="C26" s="6"/>
      <c r="D26" s="6"/>
      <c r="E26" s="12"/>
      <c r="F26" s="12"/>
      <c r="G26" s="12"/>
      <c r="H26" s="6"/>
      <c r="I26" s="6"/>
      <c r="J26" s="6"/>
      <c r="K26" s="6"/>
      <c r="L26" s="6"/>
      <c r="M26" s="6"/>
      <c r="N26" s="6"/>
      <c r="O26" s="6"/>
      <c r="P26" s="6"/>
    </row>
    <row r="27" spans="1:16" ht="15.75" customHeight="1" x14ac:dyDescent="0.35">
      <c r="A27" s="13"/>
      <c r="B27" s="13"/>
      <c r="C27" s="6"/>
      <c r="D27" s="6"/>
      <c r="E27" s="12"/>
      <c r="F27" s="12"/>
      <c r="G27" s="12"/>
      <c r="H27" s="6"/>
      <c r="I27" s="6"/>
      <c r="J27" s="6"/>
      <c r="K27" s="6"/>
      <c r="L27" s="6"/>
      <c r="M27" s="6"/>
      <c r="N27" s="14"/>
      <c r="O27" s="6"/>
      <c r="P27" s="6"/>
    </row>
    <row r="28" spans="1:16" ht="15.75" customHeight="1" x14ac:dyDescent="0.35">
      <c r="A28" s="13"/>
      <c r="B28" s="13"/>
      <c r="C28" s="6"/>
      <c r="D28" s="6"/>
      <c r="E28" s="12"/>
      <c r="F28" s="12"/>
      <c r="G28" s="12"/>
      <c r="H28" s="6"/>
      <c r="I28" s="6"/>
      <c r="J28" s="6"/>
      <c r="K28" s="6"/>
      <c r="L28" s="6"/>
      <c r="M28" s="6"/>
      <c r="N28" s="14"/>
      <c r="O28" s="6"/>
      <c r="P28" s="6"/>
    </row>
    <row r="29" spans="1:16" ht="15.75" customHeight="1" x14ac:dyDescent="0.35">
      <c r="A29" s="13"/>
      <c r="B29" s="13"/>
      <c r="C29" s="6"/>
      <c r="D29" s="6"/>
      <c r="E29" s="12"/>
      <c r="F29" s="12"/>
      <c r="G29" s="12"/>
      <c r="H29" s="6"/>
      <c r="I29" s="6"/>
      <c r="J29" s="6"/>
      <c r="K29" s="6"/>
      <c r="L29" s="6"/>
      <c r="M29" s="6"/>
      <c r="N29" s="14"/>
      <c r="O29" s="6"/>
      <c r="P29" s="6"/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999"/>
  <sheetViews>
    <sheetView workbookViewId="0">
      <selection activeCell="A2" sqref="A2"/>
    </sheetView>
  </sheetViews>
  <sheetFormatPr defaultColWidth="12.6328125" defaultRowHeight="15.75" customHeight="1" x14ac:dyDescent="0.25"/>
  <sheetData>
    <row r="1" spans="1:26" ht="15.75" customHeight="1" x14ac:dyDescent="0.35">
      <c r="A1" s="6"/>
      <c r="B1" s="12" t="s">
        <v>39</v>
      </c>
      <c r="C1" s="12" t="s">
        <v>43</v>
      </c>
      <c r="D1" s="6" t="s">
        <v>44</v>
      </c>
      <c r="E1" s="6" t="s">
        <v>45</v>
      </c>
      <c r="F1" s="6" t="s">
        <v>46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5.75" customHeight="1" x14ac:dyDescent="0.35">
      <c r="A2" s="6" t="s">
        <v>36</v>
      </c>
      <c r="B2" s="12">
        <f>SUMIFS(grants!E:E,grants!K:K, 1,grants!J:J, 1,grants!H:H, 1)</f>
        <v>0</v>
      </c>
      <c r="C2" s="12">
        <f>SUMIFS(grants!E:E,grants!L:L, 1,grants!J:J, 1,grants!H:H, 1)</f>
        <v>0</v>
      </c>
      <c r="D2" s="12">
        <f t="shared" ref="D2:D3" si="0">SUM(B2:C2)</f>
        <v>0</v>
      </c>
      <c r="E2" s="15" t="e">
        <f>D2/D4</f>
        <v>#DIV/0!</v>
      </c>
      <c r="F2" s="15" t="e">
        <f>1-E2</f>
        <v>#DIV/0!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75" customHeight="1" x14ac:dyDescent="0.35">
      <c r="A3" s="6" t="s">
        <v>47</v>
      </c>
      <c r="B3" s="12">
        <f>SUMIFS(grants!E:E,grants!K:K, 1,grants!J:J, 1, grants!H:H, 0)</f>
        <v>0</v>
      </c>
      <c r="C3" s="12">
        <f>SUMIFS(grants!E:E,grants!L:L, 1,grants!J:J, 1,grants!H:H, 0)</f>
        <v>0</v>
      </c>
      <c r="D3" s="12">
        <f t="shared" si="0"/>
        <v>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75" customHeight="1" x14ac:dyDescent="0.35">
      <c r="A4" s="6" t="s">
        <v>44</v>
      </c>
      <c r="B4" s="12">
        <f t="shared" ref="B4:D4" si="1">SUM(B2:B3)</f>
        <v>0</v>
      </c>
      <c r="C4" s="12">
        <f t="shared" si="1"/>
        <v>0</v>
      </c>
      <c r="D4" s="12">
        <f t="shared" si="1"/>
        <v>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.75" customHeight="1" x14ac:dyDescent="0.35">
      <c r="A5" s="6"/>
      <c r="B5" s="12"/>
      <c r="C5" s="1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75" customHeight="1" x14ac:dyDescent="0.35">
      <c r="A6" s="6"/>
      <c r="B6" s="12"/>
      <c r="C6" s="1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75" customHeight="1" x14ac:dyDescent="0.35">
      <c r="A7" s="6"/>
      <c r="B7" s="12"/>
      <c r="C7" s="1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75" customHeight="1" x14ac:dyDescent="0.35">
      <c r="A8" s="6"/>
      <c r="B8" s="12"/>
      <c r="C8" s="1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75" customHeight="1" x14ac:dyDescent="0.35">
      <c r="A9" s="6"/>
      <c r="B9" s="12"/>
      <c r="C9" s="1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75" customHeight="1" x14ac:dyDescent="0.35">
      <c r="A10" s="6"/>
      <c r="B10" s="12"/>
      <c r="C10" s="1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75" customHeight="1" x14ac:dyDescent="0.35">
      <c r="A11" s="6"/>
      <c r="B11" s="12"/>
      <c r="C11" s="1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75" customHeight="1" x14ac:dyDescent="0.35">
      <c r="A12" s="6"/>
      <c r="B12" s="12"/>
      <c r="C12" s="1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75" customHeight="1" x14ac:dyDescent="0.35">
      <c r="A13" s="6"/>
      <c r="B13" s="12"/>
      <c r="C13" s="1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75" customHeight="1" x14ac:dyDescent="0.35">
      <c r="A14" s="6"/>
      <c r="B14" s="12"/>
      <c r="C14" s="1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75" customHeight="1" x14ac:dyDescent="0.35">
      <c r="A15" s="6"/>
      <c r="B15" s="12"/>
      <c r="C15" s="1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75" customHeight="1" x14ac:dyDescent="0.35">
      <c r="A16" s="6"/>
      <c r="B16" s="12"/>
      <c r="C16" s="1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75" customHeight="1" x14ac:dyDescent="0.35">
      <c r="A17" s="6"/>
      <c r="B17" s="12"/>
      <c r="C17" s="1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75" customHeight="1" x14ac:dyDescent="0.35">
      <c r="A18" s="6"/>
      <c r="B18" s="12"/>
      <c r="C18" s="1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75" customHeight="1" x14ac:dyDescent="0.35">
      <c r="A19" s="6"/>
      <c r="B19" s="12"/>
      <c r="C19" s="1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75" customHeight="1" x14ac:dyDescent="0.35">
      <c r="A20" s="6"/>
      <c r="B20" s="12"/>
      <c r="C20" s="1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75" customHeight="1" x14ac:dyDescent="0.35">
      <c r="A21" s="6"/>
      <c r="B21" s="12"/>
      <c r="C21" s="1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75" customHeight="1" x14ac:dyDescent="0.35">
      <c r="A22" s="6"/>
      <c r="B22" s="12"/>
      <c r="C22" s="1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75" customHeight="1" x14ac:dyDescent="0.35">
      <c r="A23" s="6"/>
      <c r="B23" s="12"/>
      <c r="C23" s="1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5.75" customHeight="1" x14ac:dyDescent="0.35">
      <c r="A24" s="6"/>
      <c r="B24" s="12"/>
      <c r="C24" s="1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75" customHeight="1" x14ac:dyDescent="0.35">
      <c r="A25" s="6"/>
      <c r="B25" s="12"/>
      <c r="C25" s="1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75" customHeight="1" x14ac:dyDescent="0.35">
      <c r="A26" s="6"/>
      <c r="B26" s="12"/>
      <c r="C26" s="1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75" customHeight="1" x14ac:dyDescent="0.35">
      <c r="A27" s="6"/>
      <c r="B27" s="12"/>
      <c r="C27" s="1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75" customHeight="1" x14ac:dyDescent="0.35">
      <c r="A28" s="6"/>
      <c r="B28" s="12"/>
      <c r="C28" s="1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75" customHeight="1" x14ac:dyDescent="0.35">
      <c r="A29" s="6"/>
      <c r="B29" s="12"/>
      <c r="C29" s="1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75" customHeight="1" x14ac:dyDescent="0.35">
      <c r="A30" s="6"/>
      <c r="B30" s="12"/>
      <c r="C30" s="1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75" customHeight="1" x14ac:dyDescent="0.35">
      <c r="A31" s="6"/>
      <c r="B31" s="12"/>
      <c r="C31" s="1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75" customHeight="1" x14ac:dyDescent="0.35">
      <c r="A32" s="6"/>
      <c r="B32" s="12"/>
      <c r="C32" s="1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3.5" x14ac:dyDescent="0.35">
      <c r="A33" s="6"/>
      <c r="B33" s="12"/>
      <c r="C33" s="1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3.5" x14ac:dyDescent="0.35">
      <c r="A34" s="6"/>
      <c r="B34" s="12"/>
      <c r="C34" s="1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3.5" x14ac:dyDescent="0.35">
      <c r="A35" s="6"/>
      <c r="B35" s="12"/>
      <c r="C35" s="1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3.5" x14ac:dyDescent="0.35">
      <c r="A36" s="6"/>
      <c r="B36" s="12"/>
      <c r="C36" s="1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3.5" x14ac:dyDescent="0.35">
      <c r="A37" s="6"/>
      <c r="B37" s="12"/>
      <c r="C37" s="1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3.5" x14ac:dyDescent="0.35">
      <c r="A38" s="6"/>
      <c r="B38" s="12"/>
      <c r="C38" s="1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3.5" x14ac:dyDescent="0.35">
      <c r="A39" s="6"/>
      <c r="B39" s="12"/>
      <c r="C39" s="1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3.5" x14ac:dyDescent="0.35">
      <c r="A40" s="6"/>
      <c r="B40" s="12"/>
      <c r="C40" s="1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3.5" x14ac:dyDescent="0.35">
      <c r="A41" s="6"/>
      <c r="B41" s="12"/>
      <c r="C41" s="1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3.5" x14ac:dyDescent="0.35">
      <c r="A42" s="6"/>
      <c r="B42" s="12"/>
      <c r="C42" s="1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3.5" x14ac:dyDescent="0.35">
      <c r="A43" s="6"/>
      <c r="B43" s="12"/>
      <c r="C43" s="1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3.5" x14ac:dyDescent="0.35">
      <c r="A44" s="6"/>
      <c r="B44" s="12"/>
      <c r="C44" s="12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3.5" x14ac:dyDescent="0.35">
      <c r="A45" s="6"/>
      <c r="B45" s="12"/>
      <c r="C45" s="1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3.5" x14ac:dyDescent="0.35">
      <c r="A46" s="6"/>
      <c r="B46" s="12"/>
      <c r="C46" s="1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3.5" x14ac:dyDescent="0.35">
      <c r="A47" s="6"/>
      <c r="B47" s="12"/>
      <c r="C47" s="1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3.5" x14ac:dyDescent="0.35">
      <c r="A48" s="6"/>
      <c r="B48" s="12"/>
      <c r="C48" s="1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3.5" x14ac:dyDescent="0.35">
      <c r="A49" s="6"/>
      <c r="B49" s="12"/>
      <c r="C49" s="1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3.5" x14ac:dyDescent="0.35">
      <c r="A50" s="6"/>
      <c r="B50" s="12"/>
      <c r="C50" s="1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3.5" x14ac:dyDescent="0.35">
      <c r="A51" s="6"/>
      <c r="B51" s="12"/>
      <c r="C51" s="1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3.5" x14ac:dyDescent="0.35">
      <c r="A52" s="6"/>
      <c r="B52" s="12"/>
      <c r="C52" s="1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3.5" x14ac:dyDescent="0.35">
      <c r="A53" s="6"/>
      <c r="B53" s="12"/>
      <c r="C53" s="1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3.5" x14ac:dyDescent="0.35">
      <c r="A54" s="6"/>
      <c r="B54" s="12"/>
      <c r="C54" s="1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3.5" x14ac:dyDescent="0.35">
      <c r="A55" s="6"/>
      <c r="B55" s="12"/>
      <c r="C55" s="1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3.5" x14ac:dyDescent="0.35">
      <c r="A56" s="6"/>
      <c r="B56" s="12"/>
      <c r="C56" s="12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3.5" x14ac:dyDescent="0.35">
      <c r="A57" s="6"/>
      <c r="B57" s="12"/>
      <c r="C57" s="1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3.5" x14ac:dyDescent="0.35">
      <c r="A58" s="6"/>
      <c r="B58" s="12"/>
      <c r="C58" s="1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3.5" x14ac:dyDescent="0.35">
      <c r="A59" s="6"/>
      <c r="B59" s="12"/>
      <c r="C59" s="12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3.5" x14ac:dyDescent="0.35">
      <c r="A60" s="6"/>
      <c r="B60" s="12"/>
      <c r="C60" s="12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3.5" x14ac:dyDescent="0.35">
      <c r="A61" s="6"/>
      <c r="B61" s="12"/>
      <c r="C61" s="1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3.5" x14ac:dyDescent="0.35">
      <c r="A62" s="6"/>
      <c r="B62" s="12"/>
      <c r="C62" s="1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3.5" x14ac:dyDescent="0.35">
      <c r="A63" s="6"/>
      <c r="B63" s="12"/>
      <c r="C63" s="1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3.5" x14ac:dyDescent="0.35">
      <c r="A64" s="6"/>
      <c r="B64" s="12"/>
      <c r="C64" s="12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3.5" x14ac:dyDescent="0.35">
      <c r="A65" s="6"/>
      <c r="B65" s="12"/>
      <c r="C65" s="12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3.5" x14ac:dyDescent="0.35">
      <c r="A66" s="6"/>
      <c r="B66" s="12"/>
      <c r="C66" s="1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3.5" x14ac:dyDescent="0.35">
      <c r="A67" s="6"/>
      <c r="B67" s="12"/>
      <c r="C67" s="1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3.5" x14ac:dyDescent="0.35">
      <c r="A68" s="6"/>
      <c r="B68" s="12"/>
      <c r="C68" s="1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3.5" x14ac:dyDescent="0.35">
      <c r="A69" s="6"/>
      <c r="B69" s="12"/>
      <c r="C69" s="1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3.5" x14ac:dyDescent="0.35">
      <c r="A70" s="6"/>
      <c r="B70" s="12"/>
      <c r="C70" s="1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3.5" x14ac:dyDescent="0.35">
      <c r="A71" s="6"/>
      <c r="B71" s="12"/>
      <c r="C71" s="1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3.5" x14ac:dyDescent="0.35">
      <c r="A72" s="6"/>
      <c r="B72" s="12"/>
      <c r="C72" s="1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3.5" x14ac:dyDescent="0.35">
      <c r="A73" s="6"/>
      <c r="B73" s="12"/>
      <c r="C73" s="1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3.5" x14ac:dyDescent="0.35">
      <c r="A74" s="6"/>
      <c r="B74" s="12"/>
      <c r="C74" s="1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3.5" x14ac:dyDescent="0.35">
      <c r="A75" s="6"/>
      <c r="B75" s="12"/>
      <c r="C75" s="1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3.5" x14ac:dyDescent="0.35">
      <c r="A76" s="6"/>
      <c r="B76" s="12"/>
      <c r="C76" s="1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3.5" x14ac:dyDescent="0.35">
      <c r="A77" s="6"/>
      <c r="B77" s="12"/>
      <c r="C77" s="1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3.5" x14ac:dyDescent="0.35">
      <c r="A78" s="6"/>
      <c r="B78" s="12"/>
      <c r="C78" s="1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3.5" x14ac:dyDescent="0.35">
      <c r="A79" s="6"/>
      <c r="B79" s="12"/>
      <c r="C79" s="1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3.5" x14ac:dyDescent="0.35">
      <c r="A80" s="6"/>
      <c r="B80" s="12"/>
      <c r="C80" s="1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3.5" x14ac:dyDescent="0.35">
      <c r="A81" s="6"/>
      <c r="B81" s="12"/>
      <c r="C81" s="1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3.5" x14ac:dyDescent="0.35">
      <c r="A82" s="6"/>
      <c r="B82" s="12"/>
      <c r="C82" s="1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3.5" x14ac:dyDescent="0.35">
      <c r="A83" s="6"/>
      <c r="B83" s="12"/>
      <c r="C83" s="1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3.5" x14ac:dyDescent="0.35">
      <c r="A84" s="6"/>
      <c r="B84" s="12"/>
      <c r="C84" s="1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3.5" x14ac:dyDescent="0.35">
      <c r="A85" s="6"/>
      <c r="B85" s="12"/>
      <c r="C85" s="1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3.5" x14ac:dyDescent="0.35">
      <c r="A86" s="6"/>
      <c r="B86" s="12"/>
      <c r="C86" s="1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3.5" x14ac:dyDescent="0.35">
      <c r="A87" s="6"/>
      <c r="B87" s="12"/>
      <c r="C87" s="1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3.5" x14ac:dyDescent="0.35">
      <c r="A88" s="6"/>
      <c r="B88" s="12"/>
      <c r="C88" s="1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3.5" x14ac:dyDescent="0.35">
      <c r="A89" s="6"/>
      <c r="B89" s="12"/>
      <c r="C89" s="1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3.5" x14ac:dyDescent="0.35">
      <c r="A90" s="6"/>
      <c r="B90" s="12"/>
      <c r="C90" s="1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3.5" x14ac:dyDescent="0.35">
      <c r="A91" s="6"/>
      <c r="B91" s="12"/>
      <c r="C91" s="1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3.5" x14ac:dyDescent="0.35">
      <c r="A92" s="6"/>
      <c r="B92" s="12"/>
      <c r="C92" s="1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3.5" x14ac:dyDescent="0.35">
      <c r="A93" s="6"/>
      <c r="B93" s="12"/>
      <c r="C93" s="1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3.5" x14ac:dyDescent="0.35">
      <c r="A94" s="6"/>
      <c r="B94" s="12"/>
      <c r="C94" s="1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3.5" x14ac:dyDescent="0.35">
      <c r="A95" s="6"/>
      <c r="B95" s="12"/>
      <c r="C95" s="1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3.5" x14ac:dyDescent="0.35">
      <c r="A96" s="6"/>
      <c r="B96" s="12"/>
      <c r="C96" s="12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3.5" x14ac:dyDescent="0.35">
      <c r="A97" s="6"/>
      <c r="B97" s="12"/>
      <c r="C97" s="12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3.5" x14ac:dyDescent="0.35">
      <c r="A98" s="6"/>
      <c r="B98" s="12"/>
      <c r="C98" s="12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3.5" x14ac:dyDescent="0.35">
      <c r="A99" s="6"/>
      <c r="B99" s="12"/>
      <c r="C99" s="12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3.5" x14ac:dyDescent="0.35">
      <c r="A100" s="6"/>
      <c r="B100" s="12"/>
      <c r="C100" s="12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3.5" x14ac:dyDescent="0.35">
      <c r="A101" s="6"/>
      <c r="B101" s="12"/>
      <c r="C101" s="12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3.5" x14ac:dyDescent="0.35">
      <c r="A102" s="6"/>
      <c r="B102" s="12"/>
      <c r="C102" s="12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3.5" x14ac:dyDescent="0.35">
      <c r="A103" s="6"/>
      <c r="B103" s="12"/>
      <c r="C103" s="12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3.5" x14ac:dyDescent="0.35">
      <c r="A104" s="6"/>
      <c r="B104" s="12"/>
      <c r="C104" s="12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3.5" x14ac:dyDescent="0.35">
      <c r="A105" s="6"/>
      <c r="B105" s="12"/>
      <c r="C105" s="12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3.5" x14ac:dyDescent="0.35">
      <c r="A106" s="6"/>
      <c r="B106" s="12"/>
      <c r="C106" s="12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3.5" x14ac:dyDescent="0.35">
      <c r="A107" s="6"/>
      <c r="B107" s="12"/>
      <c r="C107" s="12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3.5" x14ac:dyDescent="0.35">
      <c r="A108" s="6"/>
      <c r="B108" s="12"/>
      <c r="C108" s="12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3.5" x14ac:dyDescent="0.35">
      <c r="A109" s="6"/>
      <c r="B109" s="12"/>
      <c r="C109" s="12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3.5" x14ac:dyDescent="0.35">
      <c r="A110" s="6"/>
      <c r="B110" s="12"/>
      <c r="C110" s="1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3.5" x14ac:dyDescent="0.35">
      <c r="A111" s="6"/>
      <c r="B111" s="12"/>
      <c r="C111" s="12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3.5" x14ac:dyDescent="0.35">
      <c r="A112" s="6"/>
      <c r="B112" s="12"/>
      <c r="C112" s="12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3.5" x14ac:dyDescent="0.35">
      <c r="A113" s="6"/>
      <c r="B113" s="12"/>
      <c r="C113" s="12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3.5" x14ac:dyDescent="0.35">
      <c r="A114" s="6"/>
      <c r="B114" s="12"/>
      <c r="C114" s="12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3.5" x14ac:dyDescent="0.35">
      <c r="A115" s="6"/>
      <c r="B115" s="12"/>
      <c r="C115" s="12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3.5" x14ac:dyDescent="0.35">
      <c r="A116" s="6"/>
      <c r="B116" s="12"/>
      <c r="C116" s="12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3.5" x14ac:dyDescent="0.35">
      <c r="A117" s="6"/>
      <c r="B117" s="12"/>
      <c r="C117" s="12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3.5" x14ac:dyDescent="0.35">
      <c r="A118" s="6"/>
      <c r="B118" s="12"/>
      <c r="C118" s="12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3.5" x14ac:dyDescent="0.35">
      <c r="A119" s="6"/>
      <c r="B119" s="12"/>
      <c r="C119" s="12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3.5" x14ac:dyDescent="0.35">
      <c r="A120" s="6"/>
      <c r="B120" s="12"/>
      <c r="C120" s="12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3.5" x14ac:dyDescent="0.35">
      <c r="A121" s="6"/>
      <c r="B121" s="12"/>
      <c r="C121" s="12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3.5" x14ac:dyDescent="0.35">
      <c r="A122" s="6"/>
      <c r="B122" s="12"/>
      <c r="C122" s="12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3.5" x14ac:dyDescent="0.35">
      <c r="A123" s="6"/>
      <c r="B123" s="12"/>
      <c r="C123" s="12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3.5" x14ac:dyDescent="0.35">
      <c r="A124" s="6"/>
      <c r="B124" s="12"/>
      <c r="C124" s="12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3.5" x14ac:dyDescent="0.35">
      <c r="A125" s="6"/>
      <c r="B125" s="12"/>
      <c r="C125" s="12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3.5" x14ac:dyDescent="0.35">
      <c r="A126" s="6"/>
      <c r="B126" s="12"/>
      <c r="C126" s="12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3.5" x14ac:dyDescent="0.35">
      <c r="A127" s="6"/>
      <c r="B127" s="12"/>
      <c r="C127" s="12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3.5" x14ac:dyDescent="0.35">
      <c r="A128" s="6"/>
      <c r="B128" s="12"/>
      <c r="C128" s="12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3.5" x14ac:dyDescent="0.35">
      <c r="A129" s="6"/>
      <c r="B129" s="12"/>
      <c r="C129" s="12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3.5" x14ac:dyDescent="0.35">
      <c r="A130" s="6"/>
      <c r="B130" s="12"/>
      <c r="C130" s="12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3.5" x14ac:dyDescent="0.35">
      <c r="A131" s="6"/>
      <c r="B131" s="12"/>
      <c r="C131" s="12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3.5" x14ac:dyDescent="0.35">
      <c r="A132" s="6"/>
      <c r="B132" s="12"/>
      <c r="C132" s="12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3.5" x14ac:dyDescent="0.35">
      <c r="A133" s="6"/>
      <c r="B133" s="12"/>
      <c r="C133" s="12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3.5" x14ac:dyDescent="0.35">
      <c r="A134" s="6"/>
      <c r="B134" s="12"/>
      <c r="C134" s="12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3.5" x14ac:dyDescent="0.35">
      <c r="A135" s="6"/>
      <c r="B135" s="12"/>
      <c r="C135" s="12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3.5" x14ac:dyDescent="0.35">
      <c r="A136" s="6"/>
      <c r="B136" s="12"/>
      <c r="C136" s="12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3.5" x14ac:dyDescent="0.35">
      <c r="A137" s="6"/>
      <c r="B137" s="12"/>
      <c r="C137" s="12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3.5" x14ac:dyDescent="0.35">
      <c r="A138" s="6"/>
      <c r="B138" s="12"/>
      <c r="C138" s="12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3.5" x14ac:dyDescent="0.35">
      <c r="A139" s="6"/>
      <c r="B139" s="12"/>
      <c r="C139" s="12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3.5" x14ac:dyDescent="0.35">
      <c r="A140" s="6"/>
      <c r="B140" s="12"/>
      <c r="C140" s="12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3.5" x14ac:dyDescent="0.35">
      <c r="A141" s="6"/>
      <c r="B141" s="12"/>
      <c r="C141" s="12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3.5" x14ac:dyDescent="0.35">
      <c r="A142" s="6"/>
      <c r="B142" s="12"/>
      <c r="C142" s="12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3.5" x14ac:dyDescent="0.35">
      <c r="A143" s="6"/>
      <c r="B143" s="12"/>
      <c r="C143" s="12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3.5" x14ac:dyDescent="0.35">
      <c r="A144" s="6"/>
      <c r="B144" s="12"/>
      <c r="C144" s="12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3.5" x14ac:dyDescent="0.35">
      <c r="A145" s="6"/>
      <c r="B145" s="12"/>
      <c r="C145" s="12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3.5" x14ac:dyDescent="0.35">
      <c r="A146" s="6"/>
      <c r="B146" s="12"/>
      <c r="C146" s="12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3.5" x14ac:dyDescent="0.35">
      <c r="A147" s="6"/>
      <c r="B147" s="12"/>
      <c r="C147" s="12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3.5" x14ac:dyDescent="0.35">
      <c r="A148" s="6"/>
      <c r="B148" s="12"/>
      <c r="C148" s="12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3.5" x14ac:dyDescent="0.35">
      <c r="A149" s="6"/>
      <c r="B149" s="12"/>
      <c r="C149" s="12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3.5" x14ac:dyDescent="0.35">
      <c r="A150" s="6"/>
      <c r="B150" s="12"/>
      <c r="C150" s="12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3.5" x14ac:dyDescent="0.35">
      <c r="A151" s="6"/>
      <c r="B151" s="12"/>
      <c r="C151" s="12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3.5" x14ac:dyDescent="0.35">
      <c r="A152" s="6"/>
      <c r="B152" s="12"/>
      <c r="C152" s="12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3.5" x14ac:dyDescent="0.35">
      <c r="A153" s="6"/>
      <c r="B153" s="12"/>
      <c r="C153" s="12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3.5" x14ac:dyDescent="0.35">
      <c r="A154" s="6"/>
      <c r="B154" s="12"/>
      <c r="C154" s="12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3.5" x14ac:dyDescent="0.35">
      <c r="A155" s="6"/>
      <c r="B155" s="12"/>
      <c r="C155" s="12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3.5" x14ac:dyDescent="0.35">
      <c r="A156" s="6"/>
      <c r="B156" s="12"/>
      <c r="C156" s="12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3.5" x14ac:dyDescent="0.35">
      <c r="A157" s="6"/>
      <c r="B157" s="12"/>
      <c r="C157" s="12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3.5" x14ac:dyDescent="0.35">
      <c r="A158" s="6"/>
      <c r="B158" s="12"/>
      <c r="C158" s="12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3.5" x14ac:dyDescent="0.35">
      <c r="A159" s="6"/>
      <c r="B159" s="12"/>
      <c r="C159" s="12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3.5" x14ac:dyDescent="0.35">
      <c r="A160" s="6"/>
      <c r="B160" s="12"/>
      <c r="C160" s="12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3.5" x14ac:dyDescent="0.35">
      <c r="A161" s="6"/>
      <c r="B161" s="12"/>
      <c r="C161" s="12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3.5" x14ac:dyDescent="0.35">
      <c r="A162" s="6"/>
      <c r="B162" s="12"/>
      <c r="C162" s="12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3.5" x14ac:dyDescent="0.35">
      <c r="A163" s="6"/>
      <c r="B163" s="12"/>
      <c r="C163" s="12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3.5" x14ac:dyDescent="0.35">
      <c r="A164" s="6"/>
      <c r="B164" s="12"/>
      <c r="C164" s="12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3.5" x14ac:dyDescent="0.35">
      <c r="A165" s="6"/>
      <c r="B165" s="12"/>
      <c r="C165" s="12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3.5" x14ac:dyDescent="0.35">
      <c r="A166" s="6"/>
      <c r="B166" s="12"/>
      <c r="C166" s="12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3.5" x14ac:dyDescent="0.35">
      <c r="A167" s="6"/>
      <c r="B167" s="12"/>
      <c r="C167" s="12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3.5" x14ac:dyDescent="0.35">
      <c r="A168" s="6"/>
      <c r="B168" s="12"/>
      <c r="C168" s="12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3.5" x14ac:dyDescent="0.35">
      <c r="A169" s="6"/>
      <c r="B169" s="12"/>
      <c r="C169" s="12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3.5" x14ac:dyDescent="0.35">
      <c r="A170" s="6"/>
      <c r="B170" s="12"/>
      <c r="C170" s="12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3.5" x14ac:dyDescent="0.35">
      <c r="A171" s="6"/>
      <c r="B171" s="12"/>
      <c r="C171" s="12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3.5" x14ac:dyDescent="0.35">
      <c r="A172" s="6"/>
      <c r="B172" s="12"/>
      <c r="C172" s="12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3.5" x14ac:dyDescent="0.35">
      <c r="A173" s="6"/>
      <c r="B173" s="12"/>
      <c r="C173" s="12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3.5" x14ac:dyDescent="0.35">
      <c r="A174" s="6"/>
      <c r="B174" s="12"/>
      <c r="C174" s="12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3.5" x14ac:dyDescent="0.35">
      <c r="A175" s="6"/>
      <c r="B175" s="12"/>
      <c r="C175" s="12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3.5" x14ac:dyDescent="0.35">
      <c r="A176" s="6"/>
      <c r="B176" s="12"/>
      <c r="C176" s="12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3.5" x14ac:dyDescent="0.35">
      <c r="A177" s="6"/>
      <c r="B177" s="12"/>
      <c r="C177" s="12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3.5" x14ac:dyDescent="0.35">
      <c r="A178" s="6"/>
      <c r="B178" s="12"/>
      <c r="C178" s="12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3.5" x14ac:dyDescent="0.35">
      <c r="A179" s="6"/>
      <c r="B179" s="12"/>
      <c r="C179" s="12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3.5" x14ac:dyDescent="0.35">
      <c r="A180" s="6"/>
      <c r="B180" s="12"/>
      <c r="C180" s="12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3.5" x14ac:dyDescent="0.35">
      <c r="A181" s="6"/>
      <c r="B181" s="12"/>
      <c r="C181" s="12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3.5" x14ac:dyDescent="0.35">
      <c r="A182" s="6"/>
      <c r="B182" s="12"/>
      <c r="C182" s="12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3.5" x14ac:dyDescent="0.35">
      <c r="A183" s="6"/>
      <c r="B183" s="12"/>
      <c r="C183" s="12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3.5" x14ac:dyDescent="0.35">
      <c r="A184" s="6"/>
      <c r="B184" s="12"/>
      <c r="C184" s="12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3.5" x14ac:dyDescent="0.35">
      <c r="A185" s="6"/>
      <c r="B185" s="12"/>
      <c r="C185" s="12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3.5" x14ac:dyDescent="0.35">
      <c r="A186" s="6"/>
      <c r="B186" s="12"/>
      <c r="C186" s="12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3.5" x14ac:dyDescent="0.35">
      <c r="A187" s="6"/>
      <c r="B187" s="12"/>
      <c r="C187" s="12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3.5" x14ac:dyDescent="0.35">
      <c r="A188" s="6"/>
      <c r="B188" s="12"/>
      <c r="C188" s="12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3.5" x14ac:dyDescent="0.35">
      <c r="A189" s="6"/>
      <c r="B189" s="12"/>
      <c r="C189" s="12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3.5" x14ac:dyDescent="0.35">
      <c r="A190" s="6"/>
      <c r="B190" s="12"/>
      <c r="C190" s="12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3.5" x14ac:dyDescent="0.35">
      <c r="A191" s="6"/>
      <c r="B191" s="12"/>
      <c r="C191" s="12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3.5" x14ac:dyDescent="0.35">
      <c r="A192" s="6"/>
      <c r="B192" s="12"/>
      <c r="C192" s="12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3.5" x14ac:dyDescent="0.35">
      <c r="A193" s="6"/>
      <c r="B193" s="12"/>
      <c r="C193" s="12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3.5" x14ac:dyDescent="0.35">
      <c r="A194" s="6"/>
      <c r="B194" s="12"/>
      <c r="C194" s="12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3.5" x14ac:dyDescent="0.35">
      <c r="A195" s="6"/>
      <c r="B195" s="12"/>
      <c r="C195" s="12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3.5" x14ac:dyDescent="0.35">
      <c r="A196" s="6"/>
      <c r="B196" s="12"/>
      <c r="C196" s="12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3.5" x14ac:dyDescent="0.35">
      <c r="A197" s="6"/>
      <c r="B197" s="12"/>
      <c r="C197" s="12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3.5" x14ac:dyDescent="0.35">
      <c r="A198" s="6"/>
      <c r="B198" s="12"/>
      <c r="C198" s="12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3.5" x14ac:dyDescent="0.35">
      <c r="A199" s="6"/>
      <c r="B199" s="12"/>
      <c r="C199" s="12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3.5" x14ac:dyDescent="0.35">
      <c r="A200" s="6"/>
      <c r="B200" s="12"/>
      <c r="C200" s="12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3.5" x14ac:dyDescent="0.35">
      <c r="A201" s="6"/>
      <c r="B201" s="12"/>
      <c r="C201" s="12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3.5" x14ac:dyDescent="0.35">
      <c r="A202" s="6"/>
      <c r="B202" s="12"/>
      <c r="C202" s="12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3.5" x14ac:dyDescent="0.35">
      <c r="A203" s="6"/>
      <c r="B203" s="12"/>
      <c r="C203" s="12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3.5" x14ac:dyDescent="0.35">
      <c r="A204" s="6"/>
      <c r="B204" s="12"/>
      <c r="C204" s="12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3.5" x14ac:dyDescent="0.35">
      <c r="A205" s="6"/>
      <c r="B205" s="12"/>
      <c r="C205" s="12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3.5" x14ac:dyDescent="0.35">
      <c r="A206" s="6"/>
      <c r="B206" s="12"/>
      <c r="C206" s="12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3.5" x14ac:dyDescent="0.35">
      <c r="A207" s="6"/>
      <c r="B207" s="12"/>
      <c r="C207" s="12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3.5" x14ac:dyDescent="0.35">
      <c r="A208" s="6"/>
      <c r="B208" s="12"/>
      <c r="C208" s="12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3.5" x14ac:dyDescent="0.35">
      <c r="A209" s="6"/>
      <c r="B209" s="12"/>
      <c r="C209" s="12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3.5" x14ac:dyDescent="0.35">
      <c r="A210" s="6"/>
      <c r="B210" s="12"/>
      <c r="C210" s="12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3.5" x14ac:dyDescent="0.35">
      <c r="A211" s="6"/>
      <c r="B211" s="12"/>
      <c r="C211" s="12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3.5" x14ac:dyDescent="0.35">
      <c r="A212" s="6"/>
      <c r="B212" s="12"/>
      <c r="C212" s="12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3.5" x14ac:dyDescent="0.35">
      <c r="A213" s="6"/>
      <c r="B213" s="12"/>
      <c r="C213" s="12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3.5" x14ac:dyDescent="0.35">
      <c r="A214" s="6"/>
      <c r="B214" s="12"/>
      <c r="C214" s="12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3.5" x14ac:dyDescent="0.35">
      <c r="A215" s="6"/>
      <c r="B215" s="12"/>
      <c r="C215" s="12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3.5" x14ac:dyDescent="0.35">
      <c r="A216" s="6"/>
      <c r="B216" s="12"/>
      <c r="C216" s="12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3.5" x14ac:dyDescent="0.35">
      <c r="A217" s="6"/>
      <c r="B217" s="12"/>
      <c r="C217" s="12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3.5" x14ac:dyDescent="0.35">
      <c r="A218" s="6"/>
      <c r="B218" s="12"/>
      <c r="C218" s="12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3.5" x14ac:dyDescent="0.35">
      <c r="A219" s="6"/>
      <c r="B219" s="12"/>
      <c r="C219" s="12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3.5" x14ac:dyDescent="0.35">
      <c r="A220" s="6"/>
      <c r="B220" s="12"/>
      <c r="C220" s="12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3.5" x14ac:dyDescent="0.35">
      <c r="A221" s="6"/>
      <c r="B221" s="12"/>
      <c r="C221" s="12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3.5" x14ac:dyDescent="0.35">
      <c r="A222" s="6"/>
      <c r="B222" s="12"/>
      <c r="C222" s="12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3.5" x14ac:dyDescent="0.35">
      <c r="A223" s="6"/>
      <c r="B223" s="12"/>
      <c r="C223" s="12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3.5" x14ac:dyDescent="0.35">
      <c r="A224" s="6"/>
      <c r="B224" s="12"/>
      <c r="C224" s="12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3.5" x14ac:dyDescent="0.35">
      <c r="A225" s="6"/>
      <c r="B225" s="12"/>
      <c r="C225" s="12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3.5" x14ac:dyDescent="0.35">
      <c r="A226" s="6"/>
      <c r="B226" s="12"/>
      <c r="C226" s="12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3.5" x14ac:dyDescent="0.35">
      <c r="A227" s="6"/>
      <c r="B227" s="12"/>
      <c r="C227" s="12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3.5" x14ac:dyDescent="0.35">
      <c r="A228" s="6"/>
      <c r="B228" s="12"/>
      <c r="C228" s="12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3.5" x14ac:dyDescent="0.35">
      <c r="A229" s="6"/>
      <c r="B229" s="12"/>
      <c r="C229" s="12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3.5" x14ac:dyDescent="0.35">
      <c r="A230" s="6"/>
      <c r="B230" s="12"/>
      <c r="C230" s="12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3.5" x14ac:dyDescent="0.35">
      <c r="A231" s="6"/>
      <c r="B231" s="12"/>
      <c r="C231" s="12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3.5" x14ac:dyDescent="0.35">
      <c r="A232" s="6"/>
      <c r="B232" s="12"/>
      <c r="C232" s="12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3.5" x14ac:dyDescent="0.35">
      <c r="A233" s="6"/>
      <c r="B233" s="12"/>
      <c r="C233" s="12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3.5" x14ac:dyDescent="0.35">
      <c r="A234" s="6"/>
      <c r="B234" s="12"/>
      <c r="C234" s="12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3.5" x14ac:dyDescent="0.35">
      <c r="A235" s="6"/>
      <c r="B235" s="12"/>
      <c r="C235" s="12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3.5" x14ac:dyDescent="0.35">
      <c r="A236" s="6"/>
      <c r="B236" s="12"/>
      <c r="C236" s="12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3.5" x14ac:dyDescent="0.35">
      <c r="A237" s="6"/>
      <c r="B237" s="12"/>
      <c r="C237" s="12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3.5" x14ac:dyDescent="0.35">
      <c r="A238" s="6"/>
      <c r="B238" s="12"/>
      <c r="C238" s="12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3.5" x14ac:dyDescent="0.35">
      <c r="A239" s="6"/>
      <c r="B239" s="12"/>
      <c r="C239" s="12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3.5" x14ac:dyDescent="0.35">
      <c r="A240" s="6"/>
      <c r="B240" s="12"/>
      <c r="C240" s="12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3.5" x14ac:dyDescent="0.35">
      <c r="A241" s="6"/>
      <c r="B241" s="12"/>
      <c r="C241" s="12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3.5" x14ac:dyDescent="0.35">
      <c r="A242" s="6"/>
      <c r="B242" s="12"/>
      <c r="C242" s="12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3.5" x14ac:dyDescent="0.35">
      <c r="A243" s="6"/>
      <c r="B243" s="12"/>
      <c r="C243" s="12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3.5" x14ac:dyDescent="0.35">
      <c r="A244" s="6"/>
      <c r="B244" s="12"/>
      <c r="C244" s="12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3.5" x14ac:dyDescent="0.35">
      <c r="A245" s="6"/>
      <c r="B245" s="12"/>
      <c r="C245" s="12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3.5" x14ac:dyDescent="0.35">
      <c r="A246" s="6"/>
      <c r="B246" s="12"/>
      <c r="C246" s="12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3.5" x14ac:dyDescent="0.35">
      <c r="A247" s="6"/>
      <c r="B247" s="12"/>
      <c r="C247" s="12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3.5" x14ac:dyDescent="0.35">
      <c r="A248" s="6"/>
      <c r="B248" s="12"/>
      <c r="C248" s="12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3.5" x14ac:dyDescent="0.35">
      <c r="A249" s="6"/>
      <c r="B249" s="12"/>
      <c r="C249" s="12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3.5" x14ac:dyDescent="0.35">
      <c r="A250" s="6"/>
      <c r="B250" s="12"/>
      <c r="C250" s="12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3.5" x14ac:dyDescent="0.35">
      <c r="A251" s="6"/>
      <c r="B251" s="12"/>
      <c r="C251" s="12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3.5" x14ac:dyDescent="0.35">
      <c r="A252" s="6"/>
      <c r="B252" s="12"/>
      <c r="C252" s="12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3.5" x14ac:dyDescent="0.35">
      <c r="A253" s="6"/>
      <c r="B253" s="12"/>
      <c r="C253" s="12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3.5" x14ac:dyDescent="0.35">
      <c r="A254" s="6"/>
      <c r="B254" s="12"/>
      <c r="C254" s="12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3.5" x14ac:dyDescent="0.35">
      <c r="A255" s="6"/>
      <c r="B255" s="12"/>
      <c r="C255" s="12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3.5" x14ac:dyDescent="0.35">
      <c r="A256" s="6"/>
      <c r="B256" s="12"/>
      <c r="C256" s="12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3.5" x14ac:dyDescent="0.35">
      <c r="A257" s="6"/>
      <c r="B257" s="12"/>
      <c r="C257" s="12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3.5" x14ac:dyDescent="0.35">
      <c r="A258" s="6"/>
      <c r="B258" s="12"/>
      <c r="C258" s="12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3.5" x14ac:dyDescent="0.35">
      <c r="A259" s="6"/>
      <c r="B259" s="12"/>
      <c r="C259" s="12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3.5" x14ac:dyDescent="0.35">
      <c r="A260" s="6"/>
      <c r="B260" s="12"/>
      <c r="C260" s="12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3.5" x14ac:dyDescent="0.35">
      <c r="A261" s="6"/>
      <c r="B261" s="12"/>
      <c r="C261" s="12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3.5" x14ac:dyDescent="0.35">
      <c r="A262" s="6"/>
      <c r="B262" s="12"/>
      <c r="C262" s="12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3.5" x14ac:dyDescent="0.35">
      <c r="A263" s="6"/>
      <c r="B263" s="12"/>
      <c r="C263" s="12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3.5" x14ac:dyDescent="0.35">
      <c r="A264" s="6"/>
      <c r="B264" s="12"/>
      <c r="C264" s="12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3.5" x14ac:dyDescent="0.35">
      <c r="A265" s="6"/>
      <c r="B265" s="12"/>
      <c r="C265" s="12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3.5" x14ac:dyDescent="0.35">
      <c r="A266" s="6"/>
      <c r="B266" s="12"/>
      <c r="C266" s="12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3.5" x14ac:dyDescent="0.35">
      <c r="A267" s="6"/>
      <c r="B267" s="12"/>
      <c r="C267" s="12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3.5" x14ac:dyDescent="0.35">
      <c r="A268" s="6"/>
      <c r="B268" s="12"/>
      <c r="C268" s="12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3.5" x14ac:dyDescent="0.35">
      <c r="A269" s="6"/>
      <c r="B269" s="12"/>
      <c r="C269" s="12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3.5" x14ac:dyDescent="0.35">
      <c r="A270" s="6"/>
      <c r="B270" s="12"/>
      <c r="C270" s="12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3.5" x14ac:dyDescent="0.35">
      <c r="A271" s="6"/>
      <c r="B271" s="12"/>
      <c r="C271" s="12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3.5" x14ac:dyDescent="0.35">
      <c r="A272" s="6"/>
      <c r="B272" s="12"/>
      <c r="C272" s="12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3.5" x14ac:dyDescent="0.35">
      <c r="A273" s="6"/>
      <c r="B273" s="12"/>
      <c r="C273" s="12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3.5" x14ac:dyDescent="0.35">
      <c r="A274" s="6"/>
      <c r="B274" s="12"/>
      <c r="C274" s="12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3.5" x14ac:dyDescent="0.35">
      <c r="A275" s="6"/>
      <c r="B275" s="12"/>
      <c r="C275" s="12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3.5" x14ac:dyDescent="0.35">
      <c r="A276" s="6"/>
      <c r="B276" s="12"/>
      <c r="C276" s="12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3.5" x14ac:dyDescent="0.35">
      <c r="A277" s="6"/>
      <c r="B277" s="12"/>
      <c r="C277" s="12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3.5" x14ac:dyDescent="0.35">
      <c r="A278" s="6"/>
      <c r="B278" s="12"/>
      <c r="C278" s="12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3.5" x14ac:dyDescent="0.35">
      <c r="A279" s="6"/>
      <c r="B279" s="12"/>
      <c r="C279" s="12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3.5" x14ac:dyDescent="0.35">
      <c r="A280" s="6"/>
      <c r="B280" s="12"/>
      <c r="C280" s="12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3.5" x14ac:dyDescent="0.35">
      <c r="A281" s="6"/>
      <c r="B281" s="12"/>
      <c r="C281" s="12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3.5" x14ac:dyDescent="0.35">
      <c r="A282" s="6"/>
      <c r="B282" s="12"/>
      <c r="C282" s="12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3.5" x14ac:dyDescent="0.35">
      <c r="A283" s="6"/>
      <c r="B283" s="12"/>
      <c r="C283" s="12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3.5" x14ac:dyDescent="0.35">
      <c r="A284" s="6"/>
      <c r="B284" s="12"/>
      <c r="C284" s="12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3.5" x14ac:dyDescent="0.35">
      <c r="A285" s="6"/>
      <c r="B285" s="12"/>
      <c r="C285" s="12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3.5" x14ac:dyDescent="0.35">
      <c r="A286" s="6"/>
      <c r="B286" s="12"/>
      <c r="C286" s="12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3.5" x14ac:dyDescent="0.35">
      <c r="A287" s="6"/>
      <c r="B287" s="12"/>
      <c r="C287" s="12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3.5" x14ac:dyDescent="0.35">
      <c r="A288" s="6"/>
      <c r="B288" s="12"/>
      <c r="C288" s="12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3.5" x14ac:dyDescent="0.35">
      <c r="A289" s="6"/>
      <c r="B289" s="12"/>
      <c r="C289" s="12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3.5" x14ac:dyDescent="0.35">
      <c r="A290" s="6"/>
      <c r="B290" s="12"/>
      <c r="C290" s="12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3.5" x14ac:dyDescent="0.35">
      <c r="A291" s="6"/>
      <c r="B291" s="12"/>
      <c r="C291" s="12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3.5" x14ac:dyDescent="0.35">
      <c r="A292" s="6"/>
      <c r="B292" s="12"/>
      <c r="C292" s="12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3.5" x14ac:dyDescent="0.35">
      <c r="A293" s="6"/>
      <c r="B293" s="12"/>
      <c r="C293" s="12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3.5" x14ac:dyDescent="0.35">
      <c r="A294" s="6"/>
      <c r="B294" s="12"/>
      <c r="C294" s="12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3.5" x14ac:dyDescent="0.35">
      <c r="A295" s="6"/>
      <c r="B295" s="12"/>
      <c r="C295" s="12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3.5" x14ac:dyDescent="0.35">
      <c r="A296" s="6"/>
      <c r="B296" s="12"/>
      <c r="C296" s="12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3.5" x14ac:dyDescent="0.35">
      <c r="A297" s="6"/>
      <c r="B297" s="12"/>
      <c r="C297" s="12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3.5" x14ac:dyDescent="0.35">
      <c r="A298" s="6"/>
      <c r="B298" s="12"/>
      <c r="C298" s="12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3.5" x14ac:dyDescent="0.35">
      <c r="A299" s="6"/>
      <c r="B299" s="12"/>
      <c r="C299" s="12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3.5" x14ac:dyDescent="0.35">
      <c r="A300" s="6"/>
      <c r="B300" s="12"/>
      <c r="C300" s="12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3.5" x14ac:dyDescent="0.35">
      <c r="A301" s="6"/>
      <c r="B301" s="12"/>
      <c r="C301" s="12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3.5" x14ac:dyDescent="0.35">
      <c r="A302" s="6"/>
      <c r="B302" s="12"/>
      <c r="C302" s="12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3.5" x14ac:dyDescent="0.35">
      <c r="A303" s="6"/>
      <c r="B303" s="12"/>
      <c r="C303" s="12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3.5" x14ac:dyDescent="0.35">
      <c r="A304" s="6"/>
      <c r="B304" s="12"/>
      <c r="C304" s="12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3.5" x14ac:dyDescent="0.35">
      <c r="A305" s="6"/>
      <c r="B305" s="12"/>
      <c r="C305" s="12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3.5" x14ac:dyDescent="0.35">
      <c r="A306" s="6"/>
      <c r="B306" s="12"/>
      <c r="C306" s="12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3.5" x14ac:dyDescent="0.35">
      <c r="A307" s="6"/>
      <c r="B307" s="12"/>
      <c r="C307" s="12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3.5" x14ac:dyDescent="0.35">
      <c r="A308" s="6"/>
      <c r="B308" s="12"/>
      <c r="C308" s="12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3.5" x14ac:dyDescent="0.35">
      <c r="A309" s="6"/>
      <c r="B309" s="12"/>
      <c r="C309" s="12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3.5" x14ac:dyDescent="0.35">
      <c r="A310" s="6"/>
      <c r="B310" s="12"/>
      <c r="C310" s="12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3.5" x14ac:dyDescent="0.35">
      <c r="A311" s="6"/>
      <c r="B311" s="12"/>
      <c r="C311" s="12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3.5" x14ac:dyDescent="0.35">
      <c r="A312" s="6"/>
      <c r="B312" s="12"/>
      <c r="C312" s="12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3.5" x14ac:dyDescent="0.35">
      <c r="A313" s="6"/>
      <c r="B313" s="12"/>
      <c r="C313" s="12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3.5" x14ac:dyDescent="0.35">
      <c r="A314" s="6"/>
      <c r="B314" s="12"/>
      <c r="C314" s="12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3.5" x14ac:dyDescent="0.35">
      <c r="A315" s="6"/>
      <c r="B315" s="12"/>
      <c r="C315" s="12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3.5" x14ac:dyDescent="0.35">
      <c r="A316" s="6"/>
      <c r="B316" s="12"/>
      <c r="C316" s="12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3.5" x14ac:dyDescent="0.35">
      <c r="A317" s="6"/>
      <c r="B317" s="12"/>
      <c r="C317" s="12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3.5" x14ac:dyDescent="0.35">
      <c r="A318" s="6"/>
      <c r="B318" s="12"/>
      <c r="C318" s="12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3.5" x14ac:dyDescent="0.35">
      <c r="A319" s="6"/>
      <c r="B319" s="12"/>
      <c r="C319" s="12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3.5" x14ac:dyDescent="0.35">
      <c r="A320" s="6"/>
      <c r="B320" s="12"/>
      <c r="C320" s="12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3.5" x14ac:dyDescent="0.35">
      <c r="A321" s="6"/>
      <c r="B321" s="12"/>
      <c r="C321" s="12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3.5" x14ac:dyDescent="0.35">
      <c r="A322" s="6"/>
      <c r="B322" s="12"/>
      <c r="C322" s="12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3.5" x14ac:dyDescent="0.35">
      <c r="A323" s="6"/>
      <c r="B323" s="12"/>
      <c r="C323" s="12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3.5" x14ac:dyDescent="0.35">
      <c r="A324" s="6"/>
      <c r="B324" s="12"/>
      <c r="C324" s="12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3.5" x14ac:dyDescent="0.35">
      <c r="A325" s="6"/>
      <c r="B325" s="12"/>
      <c r="C325" s="12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3.5" x14ac:dyDescent="0.35">
      <c r="A326" s="6"/>
      <c r="B326" s="12"/>
      <c r="C326" s="12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3.5" x14ac:dyDescent="0.35">
      <c r="A327" s="6"/>
      <c r="B327" s="12"/>
      <c r="C327" s="12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3.5" x14ac:dyDescent="0.35">
      <c r="A328" s="6"/>
      <c r="B328" s="12"/>
      <c r="C328" s="12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3.5" x14ac:dyDescent="0.35">
      <c r="A329" s="6"/>
      <c r="B329" s="12"/>
      <c r="C329" s="12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3.5" x14ac:dyDescent="0.35">
      <c r="A330" s="6"/>
      <c r="B330" s="12"/>
      <c r="C330" s="12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3.5" x14ac:dyDescent="0.35">
      <c r="A331" s="6"/>
      <c r="B331" s="12"/>
      <c r="C331" s="12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3.5" x14ac:dyDescent="0.35">
      <c r="A332" s="6"/>
      <c r="B332" s="12"/>
      <c r="C332" s="12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3.5" x14ac:dyDescent="0.35">
      <c r="A333" s="6"/>
      <c r="B333" s="12"/>
      <c r="C333" s="12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3.5" x14ac:dyDescent="0.35">
      <c r="A334" s="6"/>
      <c r="B334" s="12"/>
      <c r="C334" s="12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3.5" x14ac:dyDescent="0.35">
      <c r="A335" s="6"/>
      <c r="B335" s="12"/>
      <c r="C335" s="12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3.5" x14ac:dyDescent="0.35">
      <c r="A336" s="6"/>
      <c r="B336" s="12"/>
      <c r="C336" s="12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3.5" x14ac:dyDescent="0.35">
      <c r="A337" s="6"/>
      <c r="B337" s="12"/>
      <c r="C337" s="12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3.5" x14ac:dyDescent="0.35">
      <c r="A338" s="6"/>
      <c r="B338" s="12"/>
      <c r="C338" s="12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3.5" x14ac:dyDescent="0.35">
      <c r="A339" s="6"/>
      <c r="B339" s="12"/>
      <c r="C339" s="12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3.5" x14ac:dyDescent="0.35">
      <c r="A340" s="6"/>
      <c r="B340" s="12"/>
      <c r="C340" s="12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3.5" x14ac:dyDescent="0.35">
      <c r="A341" s="6"/>
      <c r="B341" s="12"/>
      <c r="C341" s="12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3.5" x14ac:dyDescent="0.35">
      <c r="A342" s="6"/>
      <c r="B342" s="12"/>
      <c r="C342" s="12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3.5" x14ac:dyDescent="0.35">
      <c r="A343" s="6"/>
      <c r="B343" s="12"/>
      <c r="C343" s="12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3.5" x14ac:dyDescent="0.35">
      <c r="A344" s="6"/>
      <c r="B344" s="12"/>
      <c r="C344" s="12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3.5" x14ac:dyDescent="0.35">
      <c r="A345" s="6"/>
      <c r="B345" s="12"/>
      <c r="C345" s="12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3.5" x14ac:dyDescent="0.35">
      <c r="A346" s="6"/>
      <c r="B346" s="12"/>
      <c r="C346" s="12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3.5" x14ac:dyDescent="0.35">
      <c r="A347" s="6"/>
      <c r="B347" s="12"/>
      <c r="C347" s="12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3.5" x14ac:dyDescent="0.35">
      <c r="A348" s="6"/>
      <c r="B348" s="12"/>
      <c r="C348" s="12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3.5" x14ac:dyDescent="0.35">
      <c r="A349" s="6"/>
      <c r="B349" s="12"/>
      <c r="C349" s="12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3.5" x14ac:dyDescent="0.35">
      <c r="A350" s="6"/>
      <c r="B350" s="12"/>
      <c r="C350" s="12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3.5" x14ac:dyDescent="0.35">
      <c r="A351" s="6"/>
      <c r="B351" s="12"/>
      <c r="C351" s="12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3.5" x14ac:dyDescent="0.35">
      <c r="A352" s="6"/>
      <c r="B352" s="12"/>
      <c r="C352" s="12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3.5" x14ac:dyDescent="0.35">
      <c r="A353" s="6"/>
      <c r="B353" s="12"/>
      <c r="C353" s="12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3.5" x14ac:dyDescent="0.35">
      <c r="A354" s="6"/>
      <c r="B354" s="12"/>
      <c r="C354" s="12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3.5" x14ac:dyDescent="0.35">
      <c r="A355" s="6"/>
      <c r="B355" s="12"/>
      <c r="C355" s="12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3.5" x14ac:dyDescent="0.35">
      <c r="A356" s="6"/>
      <c r="B356" s="12"/>
      <c r="C356" s="12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3.5" x14ac:dyDescent="0.35">
      <c r="A357" s="6"/>
      <c r="B357" s="12"/>
      <c r="C357" s="12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3.5" x14ac:dyDescent="0.35">
      <c r="A358" s="6"/>
      <c r="B358" s="12"/>
      <c r="C358" s="12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3.5" x14ac:dyDescent="0.35">
      <c r="A359" s="6"/>
      <c r="B359" s="12"/>
      <c r="C359" s="12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3.5" x14ac:dyDescent="0.35">
      <c r="A360" s="6"/>
      <c r="B360" s="12"/>
      <c r="C360" s="12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3.5" x14ac:dyDescent="0.35">
      <c r="A361" s="6"/>
      <c r="B361" s="12"/>
      <c r="C361" s="12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3.5" x14ac:dyDescent="0.35">
      <c r="A362" s="6"/>
      <c r="B362" s="12"/>
      <c r="C362" s="12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3.5" x14ac:dyDescent="0.35">
      <c r="A363" s="6"/>
      <c r="B363" s="12"/>
      <c r="C363" s="12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3.5" x14ac:dyDescent="0.35">
      <c r="A364" s="6"/>
      <c r="B364" s="12"/>
      <c r="C364" s="12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3.5" x14ac:dyDescent="0.35">
      <c r="A365" s="6"/>
      <c r="B365" s="12"/>
      <c r="C365" s="12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3.5" x14ac:dyDescent="0.35">
      <c r="A366" s="6"/>
      <c r="B366" s="12"/>
      <c r="C366" s="12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3.5" x14ac:dyDescent="0.35">
      <c r="A367" s="6"/>
      <c r="B367" s="12"/>
      <c r="C367" s="12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3.5" x14ac:dyDescent="0.35">
      <c r="A368" s="6"/>
      <c r="B368" s="12"/>
      <c r="C368" s="12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3.5" x14ac:dyDescent="0.35">
      <c r="A369" s="6"/>
      <c r="B369" s="12"/>
      <c r="C369" s="12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3.5" x14ac:dyDescent="0.35">
      <c r="A370" s="6"/>
      <c r="B370" s="12"/>
      <c r="C370" s="12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3.5" x14ac:dyDescent="0.35">
      <c r="A371" s="6"/>
      <c r="B371" s="12"/>
      <c r="C371" s="12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3.5" x14ac:dyDescent="0.35">
      <c r="A372" s="6"/>
      <c r="B372" s="12"/>
      <c r="C372" s="12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3.5" x14ac:dyDescent="0.35">
      <c r="A373" s="6"/>
      <c r="B373" s="12"/>
      <c r="C373" s="12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3.5" x14ac:dyDescent="0.35">
      <c r="A374" s="6"/>
      <c r="B374" s="12"/>
      <c r="C374" s="12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3.5" x14ac:dyDescent="0.35">
      <c r="A375" s="6"/>
      <c r="B375" s="12"/>
      <c r="C375" s="12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3.5" x14ac:dyDescent="0.35">
      <c r="A376" s="6"/>
      <c r="B376" s="12"/>
      <c r="C376" s="12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3.5" x14ac:dyDescent="0.35">
      <c r="A377" s="6"/>
      <c r="B377" s="12"/>
      <c r="C377" s="12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3.5" x14ac:dyDescent="0.35">
      <c r="A378" s="6"/>
      <c r="B378" s="12"/>
      <c r="C378" s="12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3.5" x14ac:dyDescent="0.35">
      <c r="A379" s="6"/>
      <c r="B379" s="12"/>
      <c r="C379" s="12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3.5" x14ac:dyDescent="0.35">
      <c r="A380" s="6"/>
      <c r="B380" s="12"/>
      <c r="C380" s="12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3.5" x14ac:dyDescent="0.35">
      <c r="A381" s="6"/>
      <c r="B381" s="12"/>
      <c r="C381" s="12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3.5" x14ac:dyDescent="0.35">
      <c r="A382" s="6"/>
      <c r="B382" s="12"/>
      <c r="C382" s="12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3.5" x14ac:dyDescent="0.35">
      <c r="A383" s="6"/>
      <c r="B383" s="12"/>
      <c r="C383" s="12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3.5" x14ac:dyDescent="0.35">
      <c r="A384" s="6"/>
      <c r="B384" s="12"/>
      <c r="C384" s="12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3.5" x14ac:dyDescent="0.35">
      <c r="A385" s="6"/>
      <c r="B385" s="12"/>
      <c r="C385" s="12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3.5" x14ac:dyDescent="0.35">
      <c r="A386" s="6"/>
      <c r="B386" s="12"/>
      <c r="C386" s="12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3.5" x14ac:dyDescent="0.35">
      <c r="A387" s="6"/>
      <c r="B387" s="12"/>
      <c r="C387" s="12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3.5" x14ac:dyDescent="0.35">
      <c r="A388" s="6"/>
      <c r="B388" s="12"/>
      <c r="C388" s="12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3.5" x14ac:dyDescent="0.35">
      <c r="A389" s="6"/>
      <c r="B389" s="12"/>
      <c r="C389" s="12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3.5" x14ac:dyDescent="0.35">
      <c r="A390" s="6"/>
      <c r="B390" s="12"/>
      <c r="C390" s="12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3.5" x14ac:dyDescent="0.35">
      <c r="A391" s="6"/>
      <c r="B391" s="12"/>
      <c r="C391" s="12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3.5" x14ac:dyDescent="0.35">
      <c r="A392" s="6"/>
      <c r="B392" s="12"/>
      <c r="C392" s="12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3.5" x14ac:dyDescent="0.35">
      <c r="A393" s="6"/>
      <c r="B393" s="12"/>
      <c r="C393" s="12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3.5" x14ac:dyDescent="0.35">
      <c r="A394" s="6"/>
      <c r="B394" s="12"/>
      <c r="C394" s="12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3.5" x14ac:dyDescent="0.35">
      <c r="A395" s="6"/>
      <c r="B395" s="12"/>
      <c r="C395" s="12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3.5" x14ac:dyDescent="0.35">
      <c r="A396" s="6"/>
      <c r="B396" s="12"/>
      <c r="C396" s="12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3.5" x14ac:dyDescent="0.35">
      <c r="A397" s="6"/>
      <c r="B397" s="12"/>
      <c r="C397" s="12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3.5" x14ac:dyDescent="0.35">
      <c r="A398" s="6"/>
      <c r="B398" s="12"/>
      <c r="C398" s="12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3.5" x14ac:dyDescent="0.35">
      <c r="A399" s="6"/>
      <c r="B399" s="12"/>
      <c r="C399" s="12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3.5" x14ac:dyDescent="0.35">
      <c r="A400" s="6"/>
      <c r="B400" s="12"/>
      <c r="C400" s="12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3.5" x14ac:dyDescent="0.35">
      <c r="A401" s="6"/>
      <c r="B401" s="12"/>
      <c r="C401" s="12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3.5" x14ac:dyDescent="0.35">
      <c r="A402" s="6"/>
      <c r="B402" s="12"/>
      <c r="C402" s="12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3.5" x14ac:dyDescent="0.35">
      <c r="A403" s="6"/>
      <c r="B403" s="12"/>
      <c r="C403" s="12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3.5" x14ac:dyDescent="0.35">
      <c r="A404" s="6"/>
      <c r="B404" s="12"/>
      <c r="C404" s="12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3.5" x14ac:dyDescent="0.35">
      <c r="A405" s="6"/>
      <c r="B405" s="12"/>
      <c r="C405" s="12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3.5" x14ac:dyDescent="0.35">
      <c r="A406" s="6"/>
      <c r="B406" s="12"/>
      <c r="C406" s="12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3.5" x14ac:dyDescent="0.35">
      <c r="A407" s="6"/>
      <c r="B407" s="12"/>
      <c r="C407" s="12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3.5" x14ac:dyDescent="0.35">
      <c r="A408" s="6"/>
      <c r="B408" s="12"/>
      <c r="C408" s="12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3.5" x14ac:dyDescent="0.35">
      <c r="A409" s="6"/>
      <c r="B409" s="12"/>
      <c r="C409" s="12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3.5" x14ac:dyDescent="0.35">
      <c r="A410" s="6"/>
      <c r="B410" s="12"/>
      <c r="C410" s="12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3.5" x14ac:dyDescent="0.35">
      <c r="A411" s="6"/>
      <c r="B411" s="12"/>
      <c r="C411" s="12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3.5" x14ac:dyDescent="0.35">
      <c r="A412" s="6"/>
      <c r="B412" s="12"/>
      <c r="C412" s="12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3.5" x14ac:dyDescent="0.35">
      <c r="A413" s="6"/>
      <c r="B413" s="12"/>
      <c r="C413" s="12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3.5" x14ac:dyDescent="0.35">
      <c r="A414" s="6"/>
      <c r="B414" s="12"/>
      <c r="C414" s="12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3.5" x14ac:dyDescent="0.35">
      <c r="A415" s="6"/>
      <c r="B415" s="12"/>
      <c r="C415" s="12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3.5" x14ac:dyDescent="0.35">
      <c r="A416" s="6"/>
      <c r="B416" s="12"/>
      <c r="C416" s="12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3.5" x14ac:dyDescent="0.35">
      <c r="A417" s="6"/>
      <c r="B417" s="12"/>
      <c r="C417" s="12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3.5" x14ac:dyDescent="0.35">
      <c r="A418" s="6"/>
      <c r="B418" s="12"/>
      <c r="C418" s="12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3.5" x14ac:dyDescent="0.35">
      <c r="A419" s="6"/>
      <c r="B419" s="12"/>
      <c r="C419" s="12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3.5" x14ac:dyDescent="0.35">
      <c r="A420" s="6"/>
      <c r="B420" s="12"/>
      <c r="C420" s="12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3.5" x14ac:dyDescent="0.35">
      <c r="A421" s="6"/>
      <c r="B421" s="12"/>
      <c r="C421" s="12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3.5" x14ac:dyDescent="0.35">
      <c r="A422" s="6"/>
      <c r="B422" s="12"/>
      <c r="C422" s="12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3.5" x14ac:dyDescent="0.35">
      <c r="A423" s="6"/>
      <c r="B423" s="12"/>
      <c r="C423" s="12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3.5" x14ac:dyDescent="0.35">
      <c r="A424" s="6"/>
      <c r="B424" s="12"/>
      <c r="C424" s="12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3.5" x14ac:dyDescent="0.35">
      <c r="A425" s="6"/>
      <c r="B425" s="12"/>
      <c r="C425" s="12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3.5" x14ac:dyDescent="0.35">
      <c r="A426" s="6"/>
      <c r="B426" s="12"/>
      <c r="C426" s="12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3.5" x14ac:dyDescent="0.35">
      <c r="A427" s="6"/>
      <c r="B427" s="12"/>
      <c r="C427" s="12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3.5" x14ac:dyDescent="0.35">
      <c r="A428" s="6"/>
      <c r="B428" s="12"/>
      <c r="C428" s="12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3.5" x14ac:dyDescent="0.35">
      <c r="A429" s="6"/>
      <c r="B429" s="12"/>
      <c r="C429" s="12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3.5" x14ac:dyDescent="0.35">
      <c r="A430" s="6"/>
      <c r="B430" s="12"/>
      <c r="C430" s="12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3.5" x14ac:dyDescent="0.35">
      <c r="A431" s="6"/>
      <c r="B431" s="12"/>
      <c r="C431" s="12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3.5" x14ac:dyDescent="0.35">
      <c r="A432" s="6"/>
      <c r="B432" s="12"/>
      <c r="C432" s="12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3.5" x14ac:dyDescent="0.35">
      <c r="A433" s="6"/>
      <c r="B433" s="12"/>
      <c r="C433" s="12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3.5" x14ac:dyDescent="0.35">
      <c r="A434" s="6"/>
      <c r="B434" s="12"/>
      <c r="C434" s="12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3.5" x14ac:dyDescent="0.35">
      <c r="A435" s="6"/>
      <c r="B435" s="12"/>
      <c r="C435" s="12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3.5" x14ac:dyDescent="0.35">
      <c r="A436" s="6"/>
      <c r="B436" s="12"/>
      <c r="C436" s="12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3.5" x14ac:dyDescent="0.35">
      <c r="A437" s="6"/>
      <c r="B437" s="12"/>
      <c r="C437" s="12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3.5" x14ac:dyDescent="0.35">
      <c r="A438" s="6"/>
      <c r="B438" s="12"/>
      <c r="C438" s="12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3.5" x14ac:dyDescent="0.35">
      <c r="A439" s="6"/>
      <c r="B439" s="12"/>
      <c r="C439" s="12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3.5" x14ac:dyDescent="0.35">
      <c r="A440" s="6"/>
      <c r="B440" s="12"/>
      <c r="C440" s="12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3.5" x14ac:dyDescent="0.35">
      <c r="A441" s="6"/>
      <c r="B441" s="12"/>
      <c r="C441" s="12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3.5" x14ac:dyDescent="0.35">
      <c r="A442" s="6"/>
      <c r="B442" s="12"/>
      <c r="C442" s="12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3.5" x14ac:dyDescent="0.35">
      <c r="A443" s="6"/>
      <c r="B443" s="12"/>
      <c r="C443" s="12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3.5" x14ac:dyDescent="0.35">
      <c r="A444" s="6"/>
      <c r="B444" s="12"/>
      <c r="C444" s="12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3.5" x14ac:dyDescent="0.35">
      <c r="A445" s="6"/>
      <c r="B445" s="12"/>
      <c r="C445" s="12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3.5" x14ac:dyDescent="0.35">
      <c r="A446" s="6"/>
      <c r="B446" s="12"/>
      <c r="C446" s="12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3.5" x14ac:dyDescent="0.35">
      <c r="A447" s="6"/>
      <c r="B447" s="12"/>
      <c r="C447" s="12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3.5" x14ac:dyDescent="0.35">
      <c r="A448" s="6"/>
      <c r="B448" s="12"/>
      <c r="C448" s="12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3.5" x14ac:dyDescent="0.35">
      <c r="A449" s="6"/>
      <c r="B449" s="12"/>
      <c r="C449" s="12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3.5" x14ac:dyDescent="0.35">
      <c r="A450" s="6"/>
      <c r="B450" s="12"/>
      <c r="C450" s="12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3.5" x14ac:dyDescent="0.35">
      <c r="A451" s="6"/>
      <c r="B451" s="12"/>
      <c r="C451" s="12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3.5" x14ac:dyDescent="0.35">
      <c r="A452" s="6"/>
      <c r="B452" s="12"/>
      <c r="C452" s="12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3.5" x14ac:dyDescent="0.35">
      <c r="A453" s="6"/>
      <c r="B453" s="12"/>
      <c r="C453" s="12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3.5" x14ac:dyDescent="0.35">
      <c r="A454" s="6"/>
      <c r="B454" s="12"/>
      <c r="C454" s="12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3.5" x14ac:dyDescent="0.35">
      <c r="A455" s="6"/>
      <c r="B455" s="12"/>
      <c r="C455" s="12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3.5" x14ac:dyDescent="0.35">
      <c r="A456" s="6"/>
      <c r="B456" s="12"/>
      <c r="C456" s="12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3.5" x14ac:dyDescent="0.35">
      <c r="A457" s="6"/>
      <c r="B457" s="12"/>
      <c r="C457" s="12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3.5" x14ac:dyDescent="0.35">
      <c r="A458" s="6"/>
      <c r="B458" s="12"/>
      <c r="C458" s="12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3.5" x14ac:dyDescent="0.35">
      <c r="A459" s="6"/>
      <c r="B459" s="12"/>
      <c r="C459" s="12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3.5" x14ac:dyDescent="0.35">
      <c r="A460" s="6"/>
      <c r="B460" s="12"/>
      <c r="C460" s="12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3.5" x14ac:dyDescent="0.35">
      <c r="A461" s="6"/>
      <c r="B461" s="12"/>
      <c r="C461" s="12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3.5" x14ac:dyDescent="0.35">
      <c r="A462" s="6"/>
      <c r="B462" s="12"/>
      <c r="C462" s="12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3.5" x14ac:dyDescent="0.35">
      <c r="A463" s="6"/>
      <c r="B463" s="12"/>
      <c r="C463" s="12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3.5" x14ac:dyDescent="0.35">
      <c r="A464" s="6"/>
      <c r="B464" s="12"/>
      <c r="C464" s="12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3.5" x14ac:dyDescent="0.35">
      <c r="A465" s="6"/>
      <c r="B465" s="12"/>
      <c r="C465" s="12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3.5" x14ac:dyDescent="0.35">
      <c r="A466" s="6"/>
      <c r="B466" s="12"/>
      <c r="C466" s="12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3.5" x14ac:dyDescent="0.35">
      <c r="A467" s="6"/>
      <c r="B467" s="12"/>
      <c r="C467" s="12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3.5" x14ac:dyDescent="0.35">
      <c r="A468" s="6"/>
      <c r="B468" s="12"/>
      <c r="C468" s="12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3.5" x14ac:dyDescent="0.35">
      <c r="A469" s="6"/>
      <c r="B469" s="12"/>
      <c r="C469" s="12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3.5" x14ac:dyDescent="0.35">
      <c r="A470" s="6"/>
      <c r="B470" s="12"/>
      <c r="C470" s="12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3.5" x14ac:dyDescent="0.35">
      <c r="A471" s="6"/>
      <c r="B471" s="12"/>
      <c r="C471" s="12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3.5" x14ac:dyDescent="0.35">
      <c r="A472" s="6"/>
      <c r="B472" s="12"/>
      <c r="C472" s="12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3.5" x14ac:dyDescent="0.35">
      <c r="A473" s="6"/>
      <c r="B473" s="12"/>
      <c r="C473" s="12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3.5" x14ac:dyDescent="0.35">
      <c r="A474" s="6"/>
      <c r="B474" s="12"/>
      <c r="C474" s="12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3.5" x14ac:dyDescent="0.35">
      <c r="A475" s="6"/>
      <c r="B475" s="12"/>
      <c r="C475" s="12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3.5" x14ac:dyDescent="0.35">
      <c r="A476" s="6"/>
      <c r="B476" s="12"/>
      <c r="C476" s="12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3.5" x14ac:dyDescent="0.35">
      <c r="A477" s="6"/>
      <c r="B477" s="12"/>
      <c r="C477" s="12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3.5" x14ac:dyDescent="0.35">
      <c r="A478" s="6"/>
      <c r="B478" s="12"/>
      <c r="C478" s="12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3.5" x14ac:dyDescent="0.35">
      <c r="A479" s="6"/>
      <c r="B479" s="12"/>
      <c r="C479" s="12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3.5" x14ac:dyDescent="0.35">
      <c r="A480" s="6"/>
      <c r="B480" s="12"/>
      <c r="C480" s="12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3.5" x14ac:dyDescent="0.35">
      <c r="A481" s="6"/>
      <c r="B481" s="12"/>
      <c r="C481" s="12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3.5" x14ac:dyDescent="0.35">
      <c r="A482" s="6"/>
      <c r="B482" s="12"/>
      <c r="C482" s="12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3.5" x14ac:dyDescent="0.35">
      <c r="A483" s="6"/>
      <c r="B483" s="12"/>
      <c r="C483" s="12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3.5" x14ac:dyDescent="0.35">
      <c r="A484" s="6"/>
      <c r="B484" s="12"/>
      <c r="C484" s="12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3.5" x14ac:dyDescent="0.35">
      <c r="A485" s="6"/>
      <c r="B485" s="12"/>
      <c r="C485" s="12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3.5" x14ac:dyDescent="0.35">
      <c r="A486" s="6"/>
      <c r="B486" s="12"/>
      <c r="C486" s="12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3.5" x14ac:dyDescent="0.35">
      <c r="A487" s="6"/>
      <c r="B487" s="12"/>
      <c r="C487" s="12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3.5" x14ac:dyDescent="0.35">
      <c r="A488" s="6"/>
      <c r="B488" s="12"/>
      <c r="C488" s="12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3.5" x14ac:dyDescent="0.35">
      <c r="A489" s="6"/>
      <c r="B489" s="12"/>
      <c r="C489" s="12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3.5" x14ac:dyDescent="0.35">
      <c r="A490" s="6"/>
      <c r="B490" s="12"/>
      <c r="C490" s="12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3.5" x14ac:dyDescent="0.35">
      <c r="A491" s="6"/>
      <c r="B491" s="12"/>
      <c r="C491" s="12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3.5" x14ac:dyDescent="0.35">
      <c r="A492" s="6"/>
      <c r="B492" s="12"/>
      <c r="C492" s="12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3.5" x14ac:dyDescent="0.35">
      <c r="A493" s="6"/>
      <c r="B493" s="12"/>
      <c r="C493" s="12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3.5" x14ac:dyDescent="0.35">
      <c r="A494" s="6"/>
      <c r="B494" s="12"/>
      <c r="C494" s="12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3.5" x14ac:dyDescent="0.35">
      <c r="A495" s="6"/>
      <c r="B495" s="12"/>
      <c r="C495" s="12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3.5" x14ac:dyDescent="0.35">
      <c r="A496" s="6"/>
      <c r="B496" s="12"/>
      <c r="C496" s="12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3.5" x14ac:dyDescent="0.35">
      <c r="A497" s="6"/>
      <c r="B497" s="12"/>
      <c r="C497" s="12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3.5" x14ac:dyDescent="0.35">
      <c r="A498" s="6"/>
      <c r="B498" s="12"/>
      <c r="C498" s="12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3.5" x14ac:dyDescent="0.35">
      <c r="A499" s="6"/>
      <c r="B499" s="12"/>
      <c r="C499" s="12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3.5" x14ac:dyDescent="0.35">
      <c r="A500" s="6"/>
      <c r="B500" s="12"/>
      <c r="C500" s="12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3.5" x14ac:dyDescent="0.35">
      <c r="A501" s="6"/>
      <c r="B501" s="12"/>
      <c r="C501" s="12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3.5" x14ac:dyDescent="0.35">
      <c r="A502" s="6"/>
      <c r="B502" s="12"/>
      <c r="C502" s="12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3.5" x14ac:dyDescent="0.35">
      <c r="A503" s="6"/>
      <c r="B503" s="12"/>
      <c r="C503" s="12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3.5" x14ac:dyDescent="0.35">
      <c r="A504" s="6"/>
      <c r="B504" s="12"/>
      <c r="C504" s="12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3.5" x14ac:dyDescent="0.35">
      <c r="A505" s="6"/>
      <c r="B505" s="12"/>
      <c r="C505" s="12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3.5" x14ac:dyDescent="0.35">
      <c r="A506" s="6"/>
      <c r="B506" s="12"/>
      <c r="C506" s="12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3.5" x14ac:dyDescent="0.35">
      <c r="A507" s="6"/>
      <c r="B507" s="12"/>
      <c r="C507" s="12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3.5" x14ac:dyDescent="0.35">
      <c r="A508" s="6"/>
      <c r="B508" s="12"/>
      <c r="C508" s="12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3.5" x14ac:dyDescent="0.35">
      <c r="A509" s="6"/>
      <c r="B509" s="12"/>
      <c r="C509" s="12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3.5" x14ac:dyDescent="0.35">
      <c r="A510" s="6"/>
      <c r="B510" s="12"/>
      <c r="C510" s="12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3.5" x14ac:dyDescent="0.35">
      <c r="A511" s="6"/>
      <c r="B511" s="12"/>
      <c r="C511" s="12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3.5" x14ac:dyDescent="0.35">
      <c r="A512" s="6"/>
      <c r="B512" s="12"/>
      <c r="C512" s="12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3.5" x14ac:dyDescent="0.35">
      <c r="A513" s="6"/>
      <c r="B513" s="12"/>
      <c r="C513" s="12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3.5" x14ac:dyDescent="0.35">
      <c r="A514" s="6"/>
      <c r="B514" s="12"/>
      <c r="C514" s="12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3.5" x14ac:dyDescent="0.35">
      <c r="A515" s="6"/>
      <c r="B515" s="12"/>
      <c r="C515" s="12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3.5" x14ac:dyDescent="0.35">
      <c r="A516" s="6"/>
      <c r="B516" s="12"/>
      <c r="C516" s="12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3.5" x14ac:dyDescent="0.35">
      <c r="A517" s="6"/>
      <c r="B517" s="12"/>
      <c r="C517" s="12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3.5" x14ac:dyDescent="0.35">
      <c r="A518" s="6"/>
      <c r="B518" s="12"/>
      <c r="C518" s="12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3.5" x14ac:dyDescent="0.35">
      <c r="A519" s="6"/>
      <c r="B519" s="12"/>
      <c r="C519" s="12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3.5" x14ac:dyDescent="0.35">
      <c r="A520" s="6"/>
      <c r="B520" s="12"/>
      <c r="C520" s="12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3.5" x14ac:dyDescent="0.35">
      <c r="A521" s="6"/>
      <c r="B521" s="12"/>
      <c r="C521" s="12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3.5" x14ac:dyDescent="0.35">
      <c r="A522" s="6"/>
      <c r="B522" s="12"/>
      <c r="C522" s="12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3.5" x14ac:dyDescent="0.35">
      <c r="A523" s="6"/>
      <c r="B523" s="12"/>
      <c r="C523" s="12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3.5" x14ac:dyDescent="0.35">
      <c r="A524" s="6"/>
      <c r="B524" s="12"/>
      <c r="C524" s="12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3.5" x14ac:dyDescent="0.35">
      <c r="A525" s="6"/>
      <c r="B525" s="12"/>
      <c r="C525" s="12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3.5" x14ac:dyDescent="0.35">
      <c r="A526" s="6"/>
      <c r="B526" s="12"/>
      <c r="C526" s="12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3.5" x14ac:dyDescent="0.35">
      <c r="A527" s="6"/>
      <c r="B527" s="12"/>
      <c r="C527" s="12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3.5" x14ac:dyDescent="0.35">
      <c r="A528" s="6"/>
      <c r="B528" s="12"/>
      <c r="C528" s="12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3.5" x14ac:dyDescent="0.35">
      <c r="A529" s="6"/>
      <c r="B529" s="12"/>
      <c r="C529" s="12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3.5" x14ac:dyDescent="0.35">
      <c r="A530" s="6"/>
      <c r="B530" s="12"/>
      <c r="C530" s="12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3.5" x14ac:dyDescent="0.35">
      <c r="A531" s="6"/>
      <c r="B531" s="12"/>
      <c r="C531" s="12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3.5" x14ac:dyDescent="0.35">
      <c r="A532" s="6"/>
      <c r="B532" s="12"/>
      <c r="C532" s="12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3.5" x14ac:dyDescent="0.35">
      <c r="A533" s="6"/>
      <c r="B533" s="12"/>
      <c r="C533" s="12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3.5" x14ac:dyDescent="0.35">
      <c r="A534" s="6"/>
      <c r="B534" s="12"/>
      <c r="C534" s="12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3.5" x14ac:dyDescent="0.35">
      <c r="A535" s="6"/>
      <c r="B535" s="12"/>
      <c r="C535" s="12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3.5" x14ac:dyDescent="0.35">
      <c r="A536" s="6"/>
      <c r="B536" s="12"/>
      <c r="C536" s="12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3.5" x14ac:dyDescent="0.35">
      <c r="A537" s="6"/>
      <c r="B537" s="12"/>
      <c r="C537" s="12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3.5" x14ac:dyDescent="0.35">
      <c r="A538" s="6"/>
      <c r="B538" s="12"/>
      <c r="C538" s="12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3.5" x14ac:dyDescent="0.35">
      <c r="A539" s="6"/>
      <c r="B539" s="12"/>
      <c r="C539" s="12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3.5" x14ac:dyDescent="0.35">
      <c r="A540" s="6"/>
      <c r="B540" s="12"/>
      <c r="C540" s="12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3.5" x14ac:dyDescent="0.35">
      <c r="A541" s="6"/>
      <c r="B541" s="12"/>
      <c r="C541" s="12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3.5" x14ac:dyDescent="0.35">
      <c r="A542" s="6"/>
      <c r="B542" s="12"/>
      <c r="C542" s="12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3.5" x14ac:dyDescent="0.35">
      <c r="A543" s="6"/>
      <c r="B543" s="12"/>
      <c r="C543" s="12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3.5" x14ac:dyDescent="0.35">
      <c r="A544" s="6"/>
      <c r="B544" s="12"/>
      <c r="C544" s="12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3.5" x14ac:dyDescent="0.35">
      <c r="A545" s="6"/>
      <c r="B545" s="12"/>
      <c r="C545" s="12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3.5" x14ac:dyDescent="0.35">
      <c r="A546" s="6"/>
      <c r="B546" s="12"/>
      <c r="C546" s="12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3.5" x14ac:dyDescent="0.35">
      <c r="A547" s="6"/>
      <c r="B547" s="12"/>
      <c r="C547" s="12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3.5" x14ac:dyDescent="0.35">
      <c r="A548" s="6"/>
      <c r="B548" s="12"/>
      <c r="C548" s="12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3.5" x14ac:dyDescent="0.35">
      <c r="A549" s="6"/>
      <c r="B549" s="12"/>
      <c r="C549" s="12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3.5" x14ac:dyDescent="0.35">
      <c r="A550" s="6"/>
      <c r="B550" s="12"/>
      <c r="C550" s="12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3.5" x14ac:dyDescent="0.35">
      <c r="A551" s="6"/>
      <c r="B551" s="12"/>
      <c r="C551" s="12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3.5" x14ac:dyDescent="0.35">
      <c r="A552" s="6"/>
      <c r="B552" s="12"/>
      <c r="C552" s="12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3.5" x14ac:dyDescent="0.35">
      <c r="A553" s="6"/>
      <c r="B553" s="12"/>
      <c r="C553" s="12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3.5" x14ac:dyDescent="0.35">
      <c r="A554" s="6"/>
      <c r="B554" s="12"/>
      <c r="C554" s="12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3.5" x14ac:dyDescent="0.35">
      <c r="A555" s="6"/>
      <c r="B555" s="12"/>
      <c r="C555" s="12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3.5" x14ac:dyDescent="0.35">
      <c r="A556" s="6"/>
      <c r="B556" s="12"/>
      <c r="C556" s="12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3.5" x14ac:dyDescent="0.35">
      <c r="A557" s="6"/>
      <c r="B557" s="12"/>
      <c r="C557" s="12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3.5" x14ac:dyDescent="0.35">
      <c r="A558" s="6"/>
      <c r="B558" s="12"/>
      <c r="C558" s="12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3.5" x14ac:dyDescent="0.35">
      <c r="A559" s="6"/>
      <c r="B559" s="12"/>
      <c r="C559" s="12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3.5" x14ac:dyDescent="0.35">
      <c r="A560" s="6"/>
      <c r="B560" s="12"/>
      <c r="C560" s="12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3.5" x14ac:dyDescent="0.35">
      <c r="A561" s="6"/>
      <c r="B561" s="12"/>
      <c r="C561" s="12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3.5" x14ac:dyDescent="0.35">
      <c r="A562" s="6"/>
      <c r="B562" s="12"/>
      <c r="C562" s="12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3.5" x14ac:dyDescent="0.35">
      <c r="A563" s="6"/>
      <c r="B563" s="12"/>
      <c r="C563" s="12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3.5" x14ac:dyDescent="0.35">
      <c r="A564" s="6"/>
      <c r="B564" s="12"/>
      <c r="C564" s="12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3.5" x14ac:dyDescent="0.35">
      <c r="A565" s="6"/>
      <c r="B565" s="12"/>
      <c r="C565" s="12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3.5" x14ac:dyDescent="0.35">
      <c r="A566" s="6"/>
      <c r="B566" s="12"/>
      <c r="C566" s="12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3.5" x14ac:dyDescent="0.35">
      <c r="A567" s="6"/>
      <c r="B567" s="12"/>
      <c r="C567" s="12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3.5" x14ac:dyDescent="0.35">
      <c r="A568" s="6"/>
      <c r="B568" s="12"/>
      <c r="C568" s="12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3.5" x14ac:dyDescent="0.35">
      <c r="A569" s="6"/>
      <c r="B569" s="12"/>
      <c r="C569" s="12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3.5" x14ac:dyDescent="0.35">
      <c r="A570" s="6"/>
      <c r="B570" s="12"/>
      <c r="C570" s="12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3.5" x14ac:dyDescent="0.35">
      <c r="A571" s="6"/>
      <c r="B571" s="12"/>
      <c r="C571" s="12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3.5" x14ac:dyDescent="0.35">
      <c r="A572" s="6"/>
      <c r="B572" s="12"/>
      <c r="C572" s="12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3.5" x14ac:dyDescent="0.35">
      <c r="A573" s="6"/>
      <c r="B573" s="12"/>
      <c r="C573" s="12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3.5" x14ac:dyDescent="0.35">
      <c r="A574" s="6"/>
      <c r="B574" s="12"/>
      <c r="C574" s="12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3.5" x14ac:dyDescent="0.35">
      <c r="A575" s="6"/>
      <c r="B575" s="12"/>
      <c r="C575" s="12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3.5" x14ac:dyDescent="0.35">
      <c r="A576" s="6"/>
      <c r="B576" s="12"/>
      <c r="C576" s="12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3.5" x14ac:dyDescent="0.35">
      <c r="A577" s="6"/>
      <c r="B577" s="12"/>
      <c r="C577" s="12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3.5" x14ac:dyDescent="0.35">
      <c r="A578" s="6"/>
      <c r="B578" s="12"/>
      <c r="C578" s="12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3.5" x14ac:dyDescent="0.35">
      <c r="A579" s="6"/>
      <c r="B579" s="12"/>
      <c r="C579" s="12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3.5" x14ac:dyDescent="0.35">
      <c r="A580" s="6"/>
      <c r="B580" s="12"/>
      <c r="C580" s="12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3.5" x14ac:dyDescent="0.35">
      <c r="A581" s="6"/>
      <c r="B581" s="12"/>
      <c r="C581" s="12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3.5" x14ac:dyDescent="0.35">
      <c r="A582" s="6"/>
      <c r="B582" s="12"/>
      <c r="C582" s="12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3.5" x14ac:dyDescent="0.35">
      <c r="A583" s="6"/>
      <c r="B583" s="12"/>
      <c r="C583" s="12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3.5" x14ac:dyDescent="0.35">
      <c r="A584" s="6"/>
      <c r="B584" s="12"/>
      <c r="C584" s="12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3.5" x14ac:dyDescent="0.35">
      <c r="A585" s="6"/>
      <c r="B585" s="12"/>
      <c r="C585" s="12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3.5" x14ac:dyDescent="0.35">
      <c r="A586" s="6"/>
      <c r="B586" s="12"/>
      <c r="C586" s="12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3.5" x14ac:dyDescent="0.35">
      <c r="A587" s="6"/>
      <c r="B587" s="12"/>
      <c r="C587" s="12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3.5" x14ac:dyDescent="0.35">
      <c r="A588" s="6"/>
      <c r="B588" s="12"/>
      <c r="C588" s="12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3.5" x14ac:dyDescent="0.35">
      <c r="A589" s="6"/>
      <c r="B589" s="12"/>
      <c r="C589" s="12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3.5" x14ac:dyDescent="0.35">
      <c r="A590" s="6"/>
      <c r="B590" s="12"/>
      <c r="C590" s="12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3.5" x14ac:dyDescent="0.35">
      <c r="A591" s="6"/>
      <c r="B591" s="12"/>
      <c r="C591" s="12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3.5" x14ac:dyDescent="0.35">
      <c r="A592" s="6"/>
      <c r="B592" s="12"/>
      <c r="C592" s="12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3.5" x14ac:dyDescent="0.35">
      <c r="A593" s="6"/>
      <c r="B593" s="12"/>
      <c r="C593" s="12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3.5" x14ac:dyDescent="0.35">
      <c r="A594" s="6"/>
      <c r="B594" s="12"/>
      <c r="C594" s="12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3.5" x14ac:dyDescent="0.35">
      <c r="A595" s="6"/>
      <c r="B595" s="12"/>
      <c r="C595" s="12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3.5" x14ac:dyDescent="0.35">
      <c r="A596" s="6"/>
      <c r="B596" s="12"/>
      <c r="C596" s="12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3.5" x14ac:dyDescent="0.35">
      <c r="A597" s="6"/>
      <c r="B597" s="12"/>
      <c r="C597" s="12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3.5" x14ac:dyDescent="0.35">
      <c r="A598" s="6"/>
      <c r="B598" s="12"/>
      <c r="C598" s="12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3.5" x14ac:dyDescent="0.35">
      <c r="A599" s="6"/>
      <c r="B599" s="12"/>
      <c r="C599" s="12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3.5" x14ac:dyDescent="0.35">
      <c r="A600" s="6"/>
      <c r="B600" s="12"/>
      <c r="C600" s="12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3.5" x14ac:dyDescent="0.35">
      <c r="A601" s="6"/>
      <c r="B601" s="12"/>
      <c r="C601" s="12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3.5" x14ac:dyDescent="0.35">
      <c r="A602" s="6"/>
      <c r="B602" s="12"/>
      <c r="C602" s="12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3.5" x14ac:dyDescent="0.35">
      <c r="A603" s="6"/>
      <c r="B603" s="12"/>
      <c r="C603" s="12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3.5" x14ac:dyDescent="0.35">
      <c r="A604" s="6"/>
      <c r="B604" s="12"/>
      <c r="C604" s="12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3.5" x14ac:dyDescent="0.35">
      <c r="A605" s="6"/>
      <c r="B605" s="12"/>
      <c r="C605" s="12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3.5" x14ac:dyDescent="0.35">
      <c r="A606" s="6"/>
      <c r="B606" s="12"/>
      <c r="C606" s="12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3.5" x14ac:dyDescent="0.35">
      <c r="A607" s="6"/>
      <c r="B607" s="12"/>
      <c r="C607" s="12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3.5" x14ac:dyDescent="0.35">
      <c r="A608" s="6"/>
      <c r="B608" s="12"/>
      <c r="C608" s="12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3.5" x14ac:dyDescent="0.35">
      <c r="A609" s="6"/>
      <c r="B609" s="12"/>
      <c r="C609" s="12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3.5" x14ac:dyDescent="0.35">
      <c r="A610" s="6"/>
      <c r="B610" s="12"/>
      <c r="C610" s="12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3.5" x14ac:dyDescent="0.35">
      <c r="A611" s="6"/>
      <c r="B611" s="12"/>
      <c r="C611" s="12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3.5" x14ac:dyDescent="0.35">
      <c r="A612" s="6"/>
      <c r="B612" s="12"/>
      <c r="C612" s="12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3.5" x14ac:dyDescent="0.35">
      <c r="A613" s="6"/>
      <c r="B613" s="12"/>
      <c r="C613" s="12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3.5" x14ac:dyDescent="0.35">
      <c r="A614" s="6"/>
      <c r="B614" s="12"/>
      <c r="C614" s="12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3.5" x14ac:dyDescent="0.35">
      <c r="A615" s="6"/>
      <c r="B615" s="12"/>
      <c r="C615" s="12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3.5" x14ac:dyDescent="0.35">
      <c r="A616" s="6"/>
      <c r="B616" s="12"/>
      <c r="C616" s="12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3.5" x14ac:dyDescent="0.35">
      <c r="A617" s="6"/>
      <c r="B617" s="12"/>
      <c r="C617" s="12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3.5" x14ac:dyDescent="0.35">
      <c r="A618" s="6"/>
      <c r="B618" s="12"/>
      <c r="C618" s="12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3.5" x14ac:dyDescent="0.35">
      <c r="A619" s="6"/>
      <c r="B619" s="12"/>
      <c r="C619" s="12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3.5" x14ac:dyDescent="0.35">
      <c r="A620" s="6"/>
      <c r="B620" s="12"/>
      <c r="C620" s="12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3.5" x14ac:dyDescent="0.35">
      <c r="A621" s="6"/>
      <c r="B621" s="12"/>
      <c r="C621" s="12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3.5" x14ac:dyDescent="0.35">
      <c r="A622" s="6"/>
      <c r="B622" s="12"/>
      <c r="C622" s="12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3.5" x14ac:dyDescent="0.35">
      <c r="A623" s="6"/>
      <c r="B623" s="12"/>
      <c r="C623" s="12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3.5" x14ac:dyDescent="0.35">
      <c r="A624" s="6"/>
      <c r="B624" s="12"/>
      <c r="C624" s="12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3.5" x14ac:dyDescent="0.35">
      <c r="A625" s="6"/>
      <c r="B625" s="12"/>
      <c r="C625" s="12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3.5" x14ac:dyDescent="0.35">
      <c r="A626" s="6"/>
      <c r="B626" s="12"/>
      <c r="C626" s="12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3.5" x14ac:dyDescent="0.35">
      <c r="A627" s="6"/>
      <c r="B627" s="12"/>
      <c r="C627" s="12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3.5" x14ac:dyDescent="0.35">
      <c r="A628" s="6"/>
      <c r="B628" s="12"/>
      <c r="C628" s="12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3.5" x14ac:dyDescent="0.35">
      <c r="A629" s="6"/>
      <c r="B629" s="12"/>
      <c r="C629" s="12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3.5" x14ac:dyDescent="0.35">
      <c r="A630" s="6"/>
      <c r="B630" s="12"/>
      <c r="C630" s="12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3.5" x14ac:dyDescent="0.35">
      <c r="A631" s="6"/>
      <c r="B631" s="12"/>
      <c r="C631" s="12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3.5" x14ac:dyDescent="0.35">
      <c r="A632" s="6"/>
      <c r="B632" s="12"/>
      <c r="C632" s="12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3.5" x14ac:dyDescent="0.35">
      <c r="A633" s="6"/>
      <c r="B633" s="12"/>
      <c r="C633" s="12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3.5" x14ac:dyDescent="0.35">
      <c r="A634" s="6"/>
      <c r="B634" s="12"/>
      <c r="C634" s="12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3.5" x14ac:dyDescent="0.35">
      <c r="A635" s="6"/>
      <c r="B635" s="12"/>
      <c r="C635" s="12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3.5" x14ac:dyDescent="0.35">
      <c r="A636" s="6"/>
      <c r="B636" s="12"/>
      <c r="C636" s="12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3.5" x14ac:dyDescent="0.35">
      <c r="A637" s="6"/>
      <c r="B637" s="12"/>
      <c r="C637" s="12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3.5" x14ac:dyDescent="0.35">
      <c r="A638" s="6"/>
      <c r="B638" s="12"/>
      <c r="C638" s="12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3.5" x14ac:dyDescent="0.35">
      <c r="A639" s="6"/>
      <c r="B639" s="12"/>
      <c r="C639" s="12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3.5" x14ac:dyDescent="0.35">
      <c r="A640" s="6"/>
      <c r="B640" s="12"/>
      <c r="C640" s="12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3.5" x14ac:dyDescent="0.35">
      <c r="A641" s="6"/>
      <c r="B641" s="12"/>
      <c r="C641" s="12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3.5" x14ac:dyDescent="0.35">
      <c r="A642" s="6"/>
      <c r="B642" s="12"/>
      <c r="C642" s="12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3.5" x14ac:dyDescent="0.35">
      <c r="A643" s="6"/>
      <c r="B643" s="12"/>
      <c r="C643" s="12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3.5" x14ac:dyDescent="0.35">
      <c r="A644" s="6"/>
      <c r="B644" s="12"/>
      <c r="C644" s="12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3.5" x14ac:dyDescent="0.35">
      <c r="A645" s="6"/>
      <c r="B645" s="12"/>
      <c r="C645" s="12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3.5" x14ac:dyDescent="0.35">
      <c r="A646" s="6"/>
      <c r="B646" s="12"/>
      <c r="C646" s="12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3.5" x14ac:dyDescent="0.35">
      <c r="A647" s="6"/>
      <c r="B647" s="12"/>
      <c r="C647" s="12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3.5" x14ac:dyDescent="0.35">
      <c r="A648" s="6"/>
      <c r="B648" s="12"/>
      <c r="C648" s="12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3.5" x14ac:dyDescent="0.35">
      <c r="A649" s="6"/>
      <c r="B649" s="12"/>
      <c r="C649" s="12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3.5" x14ac:dyDescent="0.35">
      <c r="A650" s="6"/>
      <c r="B650" s="12"/>
      <c r="C650" s="12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3.5" x14ac:dyDescent="0.35">
      <c r="A651" s="6"/>
      <c r="B651" s="12"/>
      <c r="C651" s="12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3.5" x14ac:dyDescent="0.35">
      <c r="A652" s="6"/>
      <c r="B652" s="12"/>
      <c r="C652" s="12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3.5" x14ac:dyDescent="0.35">
      <c r="A653" s="6"/>
      <c r="B653" s="12"/>
      <c r="C653" s="12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3.5" x14ac:dyDescent="0.35">
      <c r="A654" s="6"/>
      <c r="B654" s="12"/>
      <c r="C654" s="12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3.5" x14ac:dyDescent="0.35">
      <c r="A655" s="6"/>
      <c r="B655" s="12"/>
      <c r="C655" s="12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3.5" x14ac:dyDescent="0.35">
      <c r="A656" s="6"/>
      <c r="B656" s="12"/>
      <c r="C656" s="12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3.5" x14ac:dyDescent="0.35">
      <c r="A657" s="6"/>
      <c r="B657" s="12"/>
      <c r="C657" s="12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3.5" x14ac:dyDescent="0.35">
      <c r="A658" s="6"/>
      <c r="B658" s="12"/>
      <c r="C658" s="12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3.5" x14ac:dyDescent="0.35">
      <c r="A659" s="6"/>
      <c r="B659" s="12"/>
      <c r="C659" s="12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3.5" x14ac:dyDescent="0.35">
      <c r="A660" s="6"/>
      <c r="B660" s="12"/>
      <c r="C660" s="12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3.5" x14ac:dyDescent="0.35">
      <c r="A661" s="6"/>
      <c r="B661" s="12"/>
      <c r="C661" s="12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3.5" x14ac:dyDescent="0.35">
      <c r="A662" s="6"/>
      <c r="B662" s="12"/>
      <c r="C662" s="12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3.5" x14ac:dyDescent="0.35">
      <c r="A663" s="6"/>
      <c r="B663" s="12"/>
      <c r="C663" s="12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3.5" x14ac:dyDescent="0.35">
      <c r="A664" s="6"/>
      <c r="B664" s="12"/>
      <c r="C664" s="12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3.5" x14ac:dyDescent="0.35">
      <c r="A665" s="6"/>
      <c r="B665" s="12"/>
      <c r="C665" s="12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3.5" x14ac:dyDescent="0.35">
      <c r="A666" s="6"/>
      <c r="B666" s="12"/>
      <c r="C666" s="12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3.5" x14ac:dyDescent="0.35">
      <c r="A667" s="6"/>
      <c r="B667" s="12"/>
      <c r="C667" s="12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3.5" x14ac:dyDescent="0.35">
      <c r="A668" s="6"/>
      <c r="B668" s="12"/>
      <c r="C668" s="12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3.5" x14ac:dyDescent="0.35">
      <c r="A669" s="6"/>
      <c r="B669" s="12"/>
      <c r="C669" s="12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3.5" x14ac:dyDescent="0.35">
      <c r="A670" s="6"/>
      <c r="B670" s="12"/>
      <c r="C670" s="12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3.5" x14ac:dyDescent="0.35">
      <c r="A671" s="6"/>
      <c r="B671" s="12"/>
      <c r="C671" s="12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3.5" x14ac:dyDescent="0.35">
      <c r="A672" s="6"/>
      <c r="B672" s="12"/>
      <c r="C672" s="12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3.5" x14ac:dyDescent="0.35">
      <c r="A673" s="6"/>
      <c r="B673" s="12"/>
      <c r="C673" s="12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3.5" x14ac:dyDescent="0.35">
      <c r="A674" s="6"/>
      <c r="B674" s="12"/>
      <c r="C674" s="12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3.5" x14ac:dyDescent="0.35">
      <c r="A675" s="6"/>
      <c r="B675" s="12"/>
      <c r="C675" s="12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3.5" x14ac:dyDescent="0.35">
      <c r="A676" s="6"/>
      <c r="B676" s="12"/>
      <c r="C676" s="12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3.5" x14ac:dyDescent="0.35">
      <c r="A677" s="6"/>
      <c r="B677" s="12"/>
      <c r="C677" s="12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3.5" x14ac:dyDescent="0.35">
      <c r="A678" s="6"/>
      <c r="B678" s="12"/>
      <c r="C678" s="12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3.5" x14ac:dyDescent="0.35">
      <c r="A679" s="6"/>
      <c r="B679" s="12"/>
      <c r="C679" s="12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3.5" x14ac:dyDescent="0.35">
      <c r="A680" s="6"/>
      <c r="B680" s="12"/>
      <c r="C680" s="12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3.5" x14ac:dyDescent="0.35">
      <c r="A681" s="6"/>
      <c r="B681" s="12"/>
      <c r="C681" s="12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3.5" x14ac:dyDescent="0.35">
      <c r="A682" s="6"/>
      <c r="B682" s="12"/>
      <c r="C682" s="12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3.5" x14ac:dyDescent="0.35">
      <c r="A683" s="6"/>
      <c r="B683" s="12"/>
      <c r="C683" s="12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3.5" x14ac:dyDescent="0.35">
      <c r="A684" s="6"/>
      <c r="B684" s="12"/>
      <c r="C684" s="12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3.5" x14ac:dyDescent="0.35">
      <c r="A685" s="6"/>
      <c r="B685" s="12"/>
      <c r="C685" s="12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3.5" x14ac:dyDescent="0.35">
      <c r="A686" s="6"/>
      <c r="B686" s="12"/>
      <c r="C686" s="12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3.5" x14ac:dyDescent="0.35">
      <c r="A687" s="6"/>
      <c r="B687" s="12"/>
      <c r="C687" s="12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3.5" x14ac:dyDescent="0.35">
      <c r="A688" s="6"/>
      <c r="B688" s="12"/>
      <c r="C688" s="12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3.5" x14ac:dyDescent="0.35">
      <c r="A689" s="6"/>
      <c r="B689" s="12"/>
      <c r="C689" s="12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3.5" x14ac:dyDescent="0.35">
      <c r="A690" s="6"/>
      <c r="B690" s="12"/>
      <c r="C690" s="12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3.5" x14ac:dyDescent="0.35">
      <c r="A691" s="6"/>
      <c r="B691" s="12"/>
      <c r="C691" s="12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3.5" x14ac:dyDescent="0.35">
      <c r="A692" s="6"/>
      <c r="B692" s="12"/>
      <c r="C692" s="12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3.5" x14ac:dyDescent="0.35">
      <c r="A693" s="6"/>
      <c r="B693" s="12"/>
      <c r="C693" s="12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3.5" x14ac:dyDescent="0.35">
      <c r="A694" s="6"/>
      <c r="B694" s="12"/>
      <c r="C694" s="12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3.5" x14ac:dyDescent="0.35">
      <c r="A695" s="6"/>
      <c r="B695" s="12"/>
      <c r="C695" s="12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3.5" x14ac:dyDescent="0.35">
      <c r="A696" s="6"/>
      <c r="B696" s="12"/>
      <c r="C696" s="12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3.5" x14ac:dyDescent="0.35">
      <c r="A697" s="6"/>
      <c r="B697" s="12"/>
      <c r="C697" s="12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3.5" x14ac:dyDescent="0.35">
      <c r="A698" s="6"/>
      <c r="B698" s="12"/>
      <c r="C698" s="12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3.5" x14ac:dyDescent="0.35">
      <c r="A699" s="6"/>
      <c r="B699" s="12"/>
      <c r="C699" s="12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3.5" x14ac:dyDescent="0.35">
      <c r="A700" s="6"/>
      <c r="B700" s="12"/>
      <c r="C700" s="12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3.5" x14ac:dyDescent="0.35">
      <c r="A701" s="6"/>
      <c r="B701" s="12"/>
      <c r="C701" s="12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3.5" x14ac:dyDescent="0.35">
      <c r="A702" s="6"/>
      <c r="B702" s="12"/>
      <c r="C702" s="12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3.5" x14ac:dyDescent="0.35">
      <c r="A703" s="6"/>
      <c r="B703" s="12"/>
      <c r="C703" s="12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3.5" x14ac:dyDescent="0.35">
      <c r="A704" s="6"/>
      <c r="B704" s="12"/>
      <c r="C704" s="12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3.5" x14ac:dyDescent="0.35">
      <c r="A705" s="6"/>
      <c r="B705" s="12"/>
      <c r="C705" s="12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3.5" x14ac:dyDescent="0.35">
      <c r="A706" s="6"/>
      <c r="B706" s="12"/>
      <c r="C706" s="12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3.5" x14ac:dyDescent="0.35">
      <c r="A707" s="6"/>
      <c r="B707" s="12"/>
      <c r="C707" s="12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3.5" x14ac:dyDescent="0.35">
      <c r="A708" s="6"/>
      <c r="B708" s="12"/>
      <c r="C708" s="12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3.5" x14ac:dyDescent="0.35">
      <c r="A709" s="6"/>
      <c r="B709" s="12"/>
      <c r="C709" s="12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3.5" x14ac:dyDescent="0.35">
      <c r="A710" s="6"/>
      <c r="B710" s="12"/>
      <c r="C710" s="12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3.5" x14ac:dyDescent="0.35">
      <c r="A711" s="6"/>
      <c r="B711" s="12"/>
      <c r="C711" s="12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3.5" x14ac:dyDescent="0.35">
      <c r="A712" s="6"/>
      <c r="B712" s="12"/>
      <c r="C712" s="12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3.5" x14ac:dyDescent="0.35">
      <c r="A713" s="6"/>
      <c r="B713" s="12"/>
      <c r="C713" s="12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3.5" x14ac:dyDescent="0.35">
      <c r="A714" s="6"/>
      <c r="B714" s="12"/>
      <c r="C714" s="12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3.5" x14ac:dyDescent="0.35">
      <c r="A715" s="6"/>
      <c r="B715" s="12"/>
      <c r="C715" s="12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3.5" x14ac:dyDescent="0.35">
      <c r="A716" s="6"/>
      <c r="B716" s="12"/>
      <c r="C716" s="12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3.5" x14ac:dyDescent="0.35">
      <c r="A717" s="6"/>
      <c r="B717" s="12"/>
      <c r="C717" s="12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3.5" x14ac:dyDescent="0.35">
      <c r="A718" s="6"/>
      <c r="B718" s="12"/>
      <c r="C718" s="12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3.5" x14ac:dyDescent="0.35">
      <c r="A719" s="6"/>
      <c r="B719" s="12"/>
      <c r="C719" s="12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3.5" x14ac:dyDescent="0.35">
      <c r="A720" s="6"/>
      <c r="B720" s="12"/>
      <c r="C720" s="12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3.5" x14ac:dyDescent="0.35">
      <c r="A721" s="6"/>
      <c r="B721" s="12"/>
      <c r="C721" s="12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3.5" x14ac:dyDescent="0.35">
      <c r="A722" s="6"/>
      <c r="B722" s="12"/>
      <c r="C722" s="12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3.5" x14ac:dyDescent="0.35">
      <c r="A723" s="6"/>
      <c r="B723" s="12"/>
      <c r="C723" s="12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3.5" x14ac:dyDescent="0.35">
      <c r="A724" s="6"/>
      <c r="B724" s="12"/>
      <c r="C724" s="12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3.5" x14ac:dyDescent="0.35">
      <c r="A725" s="6"/>
      <c r="B725" s="12"/>
      <c r="C725" s="12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3.5" x14ac:dyDescent="0.35">
      <c r="A726" s="6"/>
      <c r="B726" s="12"/>
      <c r="C726" s="12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3.5" x14ac:dyDescent="0.35">
      <c r="A727" s="6"/>
      <c r="B727" s="12"/>
      <c r="C727" s="12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3.5" x14ac:dyDescent="0.35">
      <c r="A728" s="6"/>
      <c r="B728" s="12"/>
      <c r="C728" s="12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3.5" x14ac:dyDescent="0.35">
      <c r="A729" s="6"/>
      <c r="B729" s="12"/>
      <c r="C729" s="12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3.5" x14ac:dyDescent="0.35">
      <c r="A730" s="6"/>
      <c r="B730" s="12"/>
      <c r="C730" s="12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3.5" x14ac:dyDescent="0.35">
      <c r="A731" s="6"/>
      <c r="B731" s="12"/>
      <c r="C731" s="12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3.5" x14ac:dyDescent="0.35">
      <c r="A732" s="6"/>
      <c r="B732" s="12"/>
      <c r="C732" s="12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3.5" x14ac:dyDescent="0.35">
      <c r="A733" s="6"/>
      <c r="B733" s="12"/>
      <c r="C733" s="12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3.5" x14ac:dyDescent="0.35">
      <c r="A734" s="6"/>
      <c r="B734" s="12"/>
      <c r="C734" s="12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3.5" x14ac:dyDescent="0.35">
      <c r="A735" s="6"/>
      <c r="B735" s="12"/>
      <c r="C735" s="12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3.5" x14ac:dyDescent="0.35">
      <c r="A736" s="6"/>
      <c r="B736" s="12"/>
      <c r="C736" s="12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3.5" x14ac:dyDescent="0.35">
      <c r="A737" s="6"/>
      <c r="B737" s="12"/>
      <c r="C737" s="12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3.5" x14ac:dyDescent="0.35">
      <c r="A738" s="6"/>
      <c r="B738" s="12"/>
      <c r="C738" s="12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3.5" x14ac:dyDescent="0.35">
      <c r="A739" s="6"/>
      <c r="B739" s="12"/>
      <c r="C739" s="12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3.5" x14ac:dyDescent="0.35">
      <c r="A740" s="6"/>
      <c r="B740" s="12"/>
      <c r="C740" s="12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3.5" x14ac:dyDescent="0.35">
      <c r="A741" s="6"/>
      <c r="B741" s="12"/>
      <c r="C741" s="12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3.5" x14ac:dyDescent="0.35">
      <c r="A742" s="6"/>
      <c r="B742" s="12"/>
      <c r="C742" s="12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3.5" x14ac:dyDescent="0.35">
      <c r="A743" s="6"/>
      <c r="B743" s="12"/>
      <c r="C743" s="12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3.5" x14ac:dyDescent="0.35">
      <c r="A744" s="6"/>
      <c r="B744" s="12"/>
      <c r="C744" s="12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3.5" x14ac:dyDescent="0.35">
      <c r="A745" s="6"/>
      <c r="B745" s="12"/>
      <c r="C745" s="12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3.5" x14ac:dyDescent="0.35">
      <c r="A746" s="6"/>
      <c r="B746" s="12"/>
      <c r="C746" s="12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3.5" x14ac:dyDescent="0.35">
      <c r="A747" s="6"/>
      <c r="B747" s="12"/>
      <c r="C747" s="12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3.5" x14ac:dyDescent="0.35">
      <c r="A748" s="6"/>
      <c r="B748" s="12"/>
      <c r="C748" s="12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3.5" x14ac:dyDescent="0.35">
      <c r="A749" s="6"/>
      <c r="B749" s="12"/>
      <c r="C749" s="12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3.5" x14ac:dyDescent="0.35">
      <c r="A750" s="6"/>
      <c r="B750" s="12"/>
      <c r="C750" s="12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3.5" x14ac:dyDescent="0.35">
      <c r="A751" s="6"/>
      <c r="B751" s="12"/>
      <c r="C751" s="12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3.5" x14ac:dyDescent="0.35">
      <c r="A752" s="6"/>
      <c r="B752" s="12"/>
      <c r="C752" s="12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3.5" x14ac:dyDescent="0.35">
      <c r="A753" s="6"/>
      <c r="B753" s="12"/>
      <c r="C753" s="12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3.5" x14ac:dyDescent="0.35">
      <c r="A754" s="6"/>
      <c r="B754" s="12"/>
      <c r="C754" s="12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3.5" x14ac:dyDescent="0.35">
      <c r="A755" s="6"/>
      <c r="B755" s="12"/>
      <c r="C755" s="12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3.5" x14ac:dyDescent="0.35">
      <c r="A756" s="6"/>
      <c r="B756" s="12"/>
      <c r="C756" s="12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3.5" x14ac:dyDescent="0.35">
      <c r="A757" s="6"/>
      <c r="B757" s="12"/>
      <c r="C757" s="12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3.5" x14ac:dyDescent="0.35">
      <c r="A758" s="6"/>
      <c r="B758" s="12"/>
      <c r="C758" s="12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3.5" x14ac:dyDescent="0.35">
      <c r="A759" s="6"/>
      <c r="B759" s="12"/>
      <c r="C759" s="12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3.5" x14ac:dyDescent="0.35">
      <c r="A760" s="6"/>
      <c r="B760" s="12"/>
      <c r="C760" s="12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3.5" x14ac:dyDescent="0.35">
      <c r="A761" s="6"/>
      <c r="B761" s="12"/>
      <c r="C761" s="12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3.5" x14ac:dyDescent="0.35">
      <c r="A762" s="6"/>
      <c r="B762" s="12"/>
      <c r="C762" s="12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3.5" x14ac:dyDescent="0.35">
      <c r="A763" s="6"/>
      <c r="B763" s="12"/>
      <c r="C763" s="12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3.5" x14ac:dyDescent="0.35">
      <c r="A764" s="6"/>
      <c r="B764" s="12"/>
      <c r="C764" s="12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3.5" x14ac:dyDescent="0.35">
      <c r="A765" s="6"/>
      <c r="B765" s="12"/>
      <c r="C765" s="12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3.5" x14ac:dyDescent="0.35">
      <c r="A766" s="6"/>
      <c r="B766" s="12"/>
      <c r="C766" s="12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3.5" x14ac:dyDescent="0.35">
      <c r="A767" s="6"/>
      <c r="B767" s="12"/>
      <c r="C767" s="12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3.5" x14ac:dyDescent="0.35">
      <c r="A768" s="6"/>
      <c r="B768" s="12"/>
      <c r="C768" s="12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3.5" x14ac:dyDescent="0.35">
      <c r="A769" s="6"/>
      <c r="B769" s="12"/>
      <c r="C769" s="12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3.5" x14ac:dyDescent="0.35">
      <c r="A770" s="6"/>
      <c r="B770" s="12"/>
      <c r="C770" s="12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3.5" x14ac:dyDescent="0.35">
      <c r="A771" s="6"/>
      <c r="B771" s="12"/>
      <c r="C771" s="12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3.5" x14ac:dyDescent="0.35">
      <c r="A772" s="6"/>
      <c r="B772" s="12"/>
      <c r="C772" s="12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3.5" x14ac:dyDescent="0.35">
      <c r="A773" s="6"/>
      <c r="B773" s="12"/>
      <c r="C773" s="12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3.5" x14ac:dyDescent="0.35">
      <c r="A774" s="6"/>
      <c r="B774" s="12"/>
      <c r="C774" s="12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3.5" x14ac:dyDescent="0.35">
      <c r="A775" s="6"/>
      <c r="B775" s="12"/>
      <c r="C775" s="12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3.5" x14ac:dyDescent="0.35">
      <c r="A776" s="6"/>
      <c r="B776" s="12"/>
      <c r="C776" s="12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3.5" x14ac:dyDescent="0.35">
      <c r="A777" s="6"/>
      <c r="B777" s="12"/>
      <c r="C777" s="12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3.5" x14ac:dyDescent="0.35">
      <c r="A778" s="6"/>
      <c r="B778" s="12"/>
      <c r="C778" s="12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3.5" x14ac:dyDescent="0.35">
      <c r="A779" s="6"/>
      <c r="B779" s="12"/>
      <c r="C779" s="12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3.5" x14ac:dyDescent="0.35">
      <c r="A780" s="6"/>
      <c r="B780" s="12"/>
      <c r="C780" s="12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3.5" x14ac:dyDescent="0.35">
      <c r="A781" s="6"/>
      <c r="B781" s="12"/>
      <c r="C781" s="12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3.5" x14ac:dyDescent="0.35">
      <c r="A782" s="6"/>
      <c r="B782" s="12"/>
      <c r="C782" s="12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3.5" x14ac:dyDescent="0.35">
      <c r="A783" s="6"/>
      <c r="B783" s="12"/>
      <c r="C783" s="12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3.5" x14ac:dyDescent="0.35">
      <c r="A784" s="6"/>
      <c r="B784" s="12"/>
      <c r="C784" s="12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3.5" x14ac:dyDescent="0.35">
      <c r="A785" s="6"/>
      <c r="B785" s="12"/>
      <c r="C785" s="12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3.5" x14ac:dyDescent="0.35">
      <c r="A786" s="6"/>
      <c r="B786" s="12"/>
      <c r="C786" s="12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3.5" x14ac:dyDescent="0.35">
      <c r="A787" s="6"/>
      <c r="B787" s="12"/>
      <c r="C787" s="12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3.5" x14ac:dyDescent="0.35">
      <c r="A788" s="6"/>
      <c r="B788" s="12"/>
      <c r="C788" s="12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3.5" x14ac:dyDescent="0.35">
      <c r="A789" s="6"/>
      <c r="B789" s="12"/>
      <c r="C789" s="12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3.5" x14ac:dyDescent="0.35">
      <c r="A790" s="6"/>
      <c r="B790" s="12"/>
      <c r="C790" s="12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3.5" x14ac:dyDescent="0.35">
      <c r="A791" s="6"/>
      <c r="B791" s="12"/>
      <c r="C791" s="12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3.5" x14ac:dyDescent="0.35">
      <c r="A792" s="6"/>
      <c r="B792" s="12"/>
      <c r="C792" s="12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3.5" x14ac:dyDescent="0.35">
      <c r="A793" s="6"/>
      <c r="B793" s="12"/>
      <c r="C793" s="12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3.5" x14ac:dyDescent="0.35">
      <c r="A794" s="6"/>
      <c r="B794" s="12"/>
      <c r="C794" s="12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3.5" x14ac:dyDescent="0.35">
      <c r="A795" s="6"/>
      <c r="B795" s="12"/>
      <c r="C795" s="12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3.5" x14ac:dyDescent="0.35">
      <c r="A796" s="6"/>
      <c r="B796" s="12"/>
      <c r="C796" s="12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3.5" x14ac:dyDescent="0.35">
      <c r="A797" s="6"/>
      <c r="B797" s="12"/>
      <c r="C797" s="12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3.5" x14ac:dyDescent="0.35">
      <c r="A798" s="6"/>
      <c r="B798" s="12"/>
      <c r="C798" s="12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3.5" x14ac:dyDescent="0.35">
      <c r="A799" s="6"/>
      <c r="B799" s="12"/>
      <c r="C799" s="12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3.5" x14ac:dyDescent="0.35">
      <c r="A800" s="6"/>
      <c r="B800" s="12"/>
      <c r="C800" s="12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3.5" x14ac:dyDescent="0.35">
      <c r="A801" s="6"/>
      <c r="B801" s="12"/>
      <c r="C801" s="12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3.5" x14ac:dyDescent="0.35">
      <c r="A802" s="6"/>
      <c r="B802" s="12"/>
      <c r="C802" s="12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3.5" x14ac:dyDescent="0.35">
      <c r="A803" s="6"/>
      <c r="B803" s="12"/>
      <c r="C803" s="12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3.5" x14ac:dyDescent="0.35">
      <c r="A804" s="6"/>
      <c r="B804" s="12"/>
      <c r="C804" s="12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3.5" x14ac:dyDescent="0.35">
      <c r="A805" s="6"/>
      <c r="B805" s="12"/>
      <c r="C805" s="12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3.5" x14ac:dyDescent="0.35">
      <c r="A806" s="6"/>
      <c r="B806" s="12"/>
      <c r="C806" s="12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3.5" x14ac:dyDescent="0.35">
      <c r="A807" s="6"/>
      <c r="B807" s="12"/>
      <c r="C807" s="12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3.5" x14ac:dyDescent="0.35">
      <c r="A808" s="6"/>
      <c r="B808" s="12"/>
      <c r="C808" s="12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3.5" x14ac:dyDescent="0.35">
      <c r="A809" s="6"/>
      <c r="B809" s="12"/>
      <c r="C809" s="12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3.5" x14ac:dyDescent="0.35">
      <c r="A810" s="6"/>
      <c r="B810" s="12"/>
      <c r="C810" s="12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3.5" x14ac:dyDescent="0.35">
      <c r="A811" s="6"/>
      <c r="B811" s="12"/>
      <c r="C811" s="12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3.5" x14ac:dyDescent="0.35">
      <c r="A812" s="6"/>
      <c r="B812" s="12"/>
      <c r="C812" s="12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3.5" x14ac:dyDescent="0.35">
      <c r="A813" s="6"/>
      <c r="B813" s="12"/>
      <c r="C813" s="12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3.5" x14ac:dyDescent="0.35">
      <c r="A814" s="6"/>
      <c r="B814" s="12"/>
      <c r="C814" s="12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3.5" x14ac:dyDescent="0.35">
      <c r="A815" s="6"/>
      <c r="B815" s="12"/>
      <c r="C815" s="12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3.5" x14ac:dyDescent="0.35">
      <c r="A816" s="6"/>
      <c r="B816" s="12"/>
      <c r="C816" s="12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3.5" x14ac:dyDescent="0.35">
      <c r="A817" s="6"/>
      <c r="B817" s="12"/>
      <c r="C817" s="12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3.5" x14ac:dyDescent="0.35">
      <c r="A818" s="6"/>
      <c r="B818" s="12"/>
      <c r="C818" s="12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3.5" x14ac:dyDescent="0.35">
      <c r="A819" s="6"/>
      <c r="B819" s="12"/>
      <c r="C819" s="12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3.5" x14ac:dyDescent="0.35">
      <c r="A820" s="6"/>
      <c r="B820" s="12"/>
      <c r="C820" s="12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3.5" x14ac:dyDescent="0.35">
      <c r="A821" s="6"/>
      <c r="B821" s="12"/>
      <c r="C821" s="12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3.5" x14ac:dyDescent="0.35">
      <c r="A822" s="6"/>
      <c r="B822" s="12"/>
      <c r="C822" s="12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3.5" x14ac:dyDescent="0.35">
      <c r="A823" s="6"/>
      <c r="B823" s="12"/>
      <c r="C823" s="12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3.5" x14ac:dyDescent="0.35">
      <c r="A824" s="6"/>
      <c r="B824" s="12"/>
      <c r="C824" s="12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3.5" x14ac:dyDescent="0.35">
      <c r="A825" s="6"/>
      <c r="B825" s="12"/>
      <c r="C825" s="12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3.5" x14ac:dyDescent="0.35">
      <c r="A826" s="6"/>
      <c r="B826" s="12"/>
      <c r="C826" s="12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3.5" x14ac:dyDescent="0.35">
      <c r="A827" s="6"/>
      <c r="B827" s="12"/>
      <c r="C827" s="12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3.5" x14ac:dyDescent="0.35">
      <c r="A828" s="6"/>
      <c r="B828" s="12"/>
      <c r="C828" s="12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3.5" x14ac:dyDescent="0.35">
      <c r="A829" s="6"/>
      <c r="B829" s="12"/>
      <c r="C829" s="12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3.5" x14ac:dyDescent="0.35">
      <c r="A830" s="6"/>
      <c r="B830" s="12"/>
      <c r="C830" s="12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3.5" x14ac:dyDescent="0.35">
      <c r="A831" s="6"/>
      <c r="B831" s="12"/>
      <c r="C831" s="12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3.5" x14ac:dyDescent="0.35">
      <c r="A832" s="6"/>
      <c r="B832" s="12"/>
      <c r="C832" s="12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3.5" x14ac:dyDescent="0.35">
      <c r="A833" s="6"/>
      <c r="B833" s="12"/>
      <c r="C833" s="12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3.5" x14ac:dyDescent="0.35">
      <c r="A834" s="6"/>
      <c r="B834" s="12"/>
      <c r="C834" s="12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3.5" x14ac:dyDescent="0.35">
      <c r="A835" s="6"/>
      <c r="B835" s="12"/>
      <c r="C835" s="12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3.5" x14ac:dyDescent="0.35">
      <c r="A836" s="6"/>
      <c r="B836" s="12"/>
      <c r="C836" s="12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3.5" x14ac:dyDescent="0.35">
      <c r="A837" s="6"/>
      <c r="B837" s="12"/>
      <c r="C837" s="12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3.5" x14ac:dyDescent="0.35">
      <c r="A838" s="6"/>
      <c r="B838" s="12"/>
      <c r="C838" s="12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3.5" x14ac:dyDescent="0.35">
      <c r="A839" s="6"/>
      <c r="B839" s="12"/>
      <c r="C839" s="12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3.5" x14ac:dyDescent="0.35">
      <c r="A840" s="6"/>
      <c r="B840" s="12"/>
      <c r="C840" s="12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3.5" x14ac:dyDescent="0.35">
      <c r="A841" s="6"/>
      <c r="B841" s="12"/>
      <c r="C841" s="12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3.5" x14ac:dyDescent="0.35">
      <c r="A842" s="6"/>
      <c r="B842" s="12"/>
      <c r="C842" s="12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3.5" x14ac:dyDescent="0.35">
      <c r="A843" s="6"/>
      <c r="B843" s="12"/>
      <c r="C843" s="12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3.5" x14ac:dyDescent="0.35">
      <c r="A844" s="6"/>
      <c r="B844" s="12"/>
      <c r="C844" s="12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3.5" x14ac:dyDescent="0.35">
      <c r="A845" s="6"/>
      <c r="B845" s="12"/>
      <c r="C845" s="12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3.5" x14ac:dyDescent="0.35">
      <c r="A846" s="6"/>
      <c r="B846" s="12"/>
      <c r="C846" s="12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3.5" x14ac:dyDescent="0.35">
      <c r="A847" s="6"/>
      <c r="B847" s="12"/>
      <c r="C847" s="12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3.5" x14ac:dyDescent="0.35">
      <c r="A848" s="6"/>
      <c r="B848" s="12"/>
      <c r="C848" s="12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3.5" x14ac:dyDescent="0.35">
      <c r="A849" s="6"/>
      <c r="B849" s="12"/>
      <c r="C849" s="12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3.5" x14ac:dyDescent="0.35">
      <c r="A850" s="6"/>
      <c r="B850" s="12"/>
      <c r="C850" s="12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3.5" x14ac:dyDescent="0.35">
      <c r="A851" s="6"/>
      <c r="B851" s="12"/>
      <c r="C851" s="12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3.5" x14ac:dyDescent="0.35">
      <c r="A852" s="6"/>
      <c r="B852" s="12"/>
      <c r="C852" s="12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3.5" x14ac:dyDescent="0.35">
      <c r="A853" s="6"/>
      <c r="B853" s="12"/>
      <c r="C853" s="12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3.5" x14ac:dyDescent="0.35">
      <c r="A854" s="6"/>
      <c r="B854" s="12"/>
      <c r="C854" s="12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3.5" x14ac:dyDescent="0.35">
      <c r="A855" s="6"/>
      <c r="B855" s="12"/>
      <c r="C855" s="12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3.5" x14ac:dyDescent="0.35">
      <c r="A856" s="6"/>
      <c r="B856" s="12"/>
      <c r="C856" s="12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3.5" x14ac:dyDescent="0.35">
      <c r="A857" s="6"/>
      <c r="B857" s="12"/>
      <c r="C857" s="12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3.5" x14ac:dyDescent="0.35">
      <c r="A858" s="6"/>
      <c r="B858" s="12"/>
      <c r="C858" s="12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3.5" x14ac:dyDescent="0.35">
      <c r="A859" s="6"/>
      <c r="B859" s="12"/>
      <c r="C859" s="12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3.5" x14ac:dyDescent="0.35">
      <c r="A860" s="6"/>
      <c r="B860" s="12"/>
      <c r="C860" s="12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3.5" x14ac:dyDescent="0.35">
      <c r="A861" s="6"/>
      <c r="B861" s="12"/>
      <c r="C861" s="12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3.5" x14ac:dyDescent="0.35">
      <c r="A862" s="6"/>
      <c r="B862" s="12"/>
      <c r="C862" s="12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3.5" x14ac:dyDescent="0.35">
      <c r="A863" s="6"/>
      <c r="B863" s="12"/>
      <c r="C863" s="12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3.5" x14ac:dyDescent="0.35">
      <c r="A864" s="6"/>
      <c r="B864" s="12"/>
      <c r="C864" s="12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3.5" x14ac:dyDescent="0.35">
      <c r="A865" s="6"/>
      <c r="B865" s="12"/>
      <c r="C865" s="12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3.5" x14ac:dyDescent="0.35">
      <c r="A866" s="6"/>
      <c r="B866" s="12"/>
      <c r="C866" s="12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3.5" x14ac:dyDescent="0.35">
      <c r="A867" s="6"/>
      <c r="B867" s="12"/>
      <c r="C867" s="12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3.5" x14ac:dyDescent="0.35">
      <c r="A868" s="6"/>
      <c r="B868" s="12"/>
      <c r="C868" s="12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3.5" x14ac:dyDescent="0.35">
      <c r="A869" s="6"/>
      <c r="B869" s="12"/>
      <c r="C869" s="12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3.5" x14ac:dyDescent="0.35">
      <c r="A870" s="6"/>
      <c r="B870" s="12"/>
      <c r="C870" s="12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3.5" x14ac:dyDescent="0.35">
      <c r="A871" s="6"/>
      <c r="B871" s="12"/>
      <c r="C871" s="12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3.5" x14ac:dyDescent="0.35">
      <c r="A872" s="6"/>
      <c r="B872" s="12"/>
      <c r="C872" s="12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3.5" x14ac:dyDescent="0.35">
      <c r="A873" s="6"/>
      <c r="B873" s="12"/>
      <c r="C873" s="12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3.5" x14ac:dyDescent="0.35">
      <c r="A874" s="6"/>
      <c r="B874" s="12"/>
      <c r="C874" s="12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3.5" x14ac:dyDescent="0.35">
      <c r="A875" s="6"/>
      <c r="B875" s="12"/>
      <c r="C875" s="12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3.5" x14ac:dyDescent="0.35">
      <c r="A876" s="6"/>
      <c r="B876" s="12"/>
      <c r="C876" s="12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3.5" x14ac:dyDescent="0.35">
      <c r="A877" s="6"/>
      <c r="B877" s="12"/>
      <c r="C877" s="12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3.5" x14ac:dyDescent="0.35">
      <c r="A878" s="6"/>
      <c r="B878" s="12"/>
      <c r="C878" s="12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3.5" x14ac:dyDescent="0.35">
      <c r="A879" s="6"/>
      <c r="B879" s="12"/>
      <c r="C879" s="12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3.5" x14ac:dyDescent="0.35">
      <c r="A880" s="6"/>
      <c r="B880" s="12"/>
      <c r="C880" s="12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3.5" x14ac:dyDescent="0.35">
      <c r="A881" s="6"/>
      <c r="B881" s="12"/>
      <c r="C881" s="12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3.5" x14ac:dyDescent="0.35">
      <c r="A882" s="6"/>
      <c r="B882" s="12"/>
      <c r="C882" s="12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3.5" x14ac:dyDescent="0.35">
      <c r="A883" s="6"/>
      <c r="B883" s="12"/>
      <c r="C883" s="12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3.5" x14ac:dyDescent="0.35">
      <c r="A884" s="6"/>
      <c r="B884" s="12"/>
      <c r="C884" s="12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3.5" x14ac:dyDescent="0.35">
      <c r="A885" s="6"/>
      <c r="B885" s="12"/>
      <c r="C885" s="12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3.5" x14ac:dyDescent="0.35">
      <c r="A886" s="6"/>
      <c r="B886" s="12"/>
      <c r="C886" s="12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3.5" x14ac:dyDescent="0.35">
      <c r="A887" s="6"/>
      <c r="B887" s="12"/>
      <c r="C887" s="12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3.5" x14ac:dyDescent="0.35">
      <c r="A888" s="6"/>
      <c r="B888" s="12"/>
      <c r="C888" s="12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3.5" x14ac:dyDescent="0.35">
      <c r="A889" s="6"/>
      <c r="B889" s="12"/>
      <c r="C889" s="12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3.5" x14ac:dyDescent="0.35">
      <c r="A890" s="6"/>
      <c r="B890" s="12"/>
      <c r="C890" s="12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3.5" x14ac:dyDescent="0.35">
      <c r="A891" s="6"/>
      <c r="B891" s="12"/>
      <c r="C891" s="12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3.5" x14ac:dyDescent="0.35">
      <c r="A892" s="6"/>
      <c r="B892" s="12"/>
      <c r="C892" s="12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3.5" x14ac:dyDescent="0.35">
      <c r="A893" s="6"/>
      <c r="B893" s="12"/>
      <c r="C893" s="12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3.5" x14ac:dyDescent="0.35">
      <c r="A894" s="6"/>
      <c r="B894" s="12"/>
      <c r="C894" s="12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3.5" x14ac:dyDescent="0.35">
      <c r="A895" s="6"/>
      <c r="B895" s="12"/>
      <c r="C895" s="12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3.5" x14ac:dyDescent="0.35">
      <c r="A896" s="6"/>
      <c r="B896" s="12"/>
      <c r="C896" s="12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3.5" x14ac:dyDescent="0.35">
      <c r="A897" s="6"/>
      <c r="B897" s="12"/>
      <c r="C897" s="12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3.5" x14ac:dyDescent="0.35">
      <c r="A898" s="6"/>
      <c r="B898" s="12"/>
      <c r="C898" s="12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3.5" x14ac:dyDescent="0.35">
      <c r="A899" s="6"/>
      <c r="B899" s="12"/>
      <c r="C899" s="12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3.5" x14ac:dyDescent="0.35">
      <c r="A900" s="6"/>
      <c r="B900" s="12"/>
      <c r="C900" s="12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3.5" x14ac:dyDescent="0.35">
      <c r="A901" s="6"/>
      <c r="B901" s="12"/>
      <c r="C901" s="12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3.5" x14ac:dyDescent="0.35">
      <c r="A902" s="6"/>
      <c r="B902" s="12"/>
      <c r="C902" s="12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3.5" x14ac:dyDescent="0.35">
      <c r="A903" s="6"/>
      <c r="B903" s="12"/>
      <c r="C903" s="12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3.5" x14ac:dyDescent="0.35">
      <c r="A904" s="6"/>
      <c r="B904" s="12"/>
      <c r="C904" s="12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3.5" x14ac:dyDescent="0.35">
      <c r="A905" s="6"/>
      <c r="B905" s="12"/>
      <c r="C905" s="12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3.5" x14ac:dyDescent="0.35">
      <c r="A906" s="6"/>
      <c r="B906" s="12"/>
      <c r="C906" s="12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3.5" x14ac:dyDescent="0.35">
      <c r="A907" s="6"/>
      <c r="B907" s="12"/>
      <c r="C907" s="12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3.5" x14ac:dyDescent="0.35">
      <c r="A908" s="6"/>
      <c r="B908" s="12"/>
      <c r="C908" s="12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3.5" x14ac:dyDescent="0.35">
      <c r="A909" s="6"/>
      <c r="B909" s="12"/>
      <c r="C909" s="12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3.5" x14ac:dyDescent="0.35">
      <c r="A910" s="6"/>
      <c r="B910" s="12"/>
      <c r="C910" s="12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3.5" x14ac:dyDescent="0.35">
      <c r="A911" s="6"/>
      <c r="B911" s="12"/>
      <c r="C911" s="12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3.5" x14ac:dyDescent="0.35">
      <c r="A912" s="6"/>
      <c r="B912" s="12"/>
      <c r="C912" s="12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3.5" x14ac:dyDescent="0.35">
      <c r="A913" s="6"/>
      <c r="B913" s="12"/>
      <c r="C913" s="12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3.5" x14ac:dyDescent="0.35">
      <c r="A914" s="6"/>
      <c r="B914" s="12"/>
      <c r="C914" s="12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3.5" x14ac:dyDescent="0.35">
      <c r="A915" s="6"/>
      <c r="B915" s="12"/>
      <c r="C915" s="12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3.5" x14ac:dyDescent="0.35">
      <c r="A916" s="6"/>
      <c r="B916" s="12"/>
      <c r="C916" s="12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3.5" x14ac:dyDescent="0.35">
      <c r="A917" s="6"/>
      <c r="B917" s="12"/>
      <c r="C917" s="12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3.5" x14ac:dyDescent="0.35">
      <c r="A918" s="6"/>
      <c r="B918" s="12"/>
      <c r="C918" s="12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3.5" x14ac:dyDescent="0.35">
      <c r="A919" s="6"/>
      <c r="B919" s="12"/>
      <c r="C919" s="12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3.5" x14ac:dyDescent="0.35">
      <c r="A920" s="6"/>
      <c r="B920" s="12"/>
      <c r="C920" s="12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3.5" x14ac:dyDescent="0.35">
      <c r="A921" s="6"/>
      <c r="B921" s="12"/>
      <c r="C921" s="12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3.5" x14ac:dyDescent="0.35">
      <c r="A922" s="6"/>
      <c r="B922" s="12"/>
      <c r="C922" s="12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3.5" x14ac:dyDescent="0.35">
      <c r="A923" s="6"/>
      <c r="B923" s="12"/>
      <c r="C923" s="12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3.5" x14ac:dyDescent="0.35">
      <c r="A924" s="6"/>
      <c r="B924" s="12"/>
      <c r="C924" s="12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3.5" x14ac:dyDescent="0.35">
      <c r="A925" s="6"/>
      <c r="B925" s="12"/>
      <c r="C925" s="12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3.5" x14ac:dyDescent="0.35">
      <c r="A926" s="6"/>
      <c r="B926" s="12"/>
      <c r="C926" s="12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3.5" x14ac:dyDescent="0.35">
      <c r="A927" s="6"/>
      <c r="B927" s="12"/>
      <c r="C927" s="12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3.5" x14ac:dyDescent="0.35">
      <c r="A928" s="6"/>
      <c r="B928" s="12"/>
      <c r="C928" s="12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3.5" x14ac:dyDescent="0.35">
      <c r="A929" s="6"/>
      <c r="B929" s="12"/>
      <c r="C929" s="12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3.5" x14ac:dyDescent="0.35">
      <c r="A930" s="6"/>
      <c r="B930" s="12"/>
      <c r="C930" s="12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3.5" x14ac:dyDescent="0.35">
      <c r="A931" s="6"/>
      <c r="B931" s="12"/>
      <c r="C931" s="12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3.5" x14ac:dyDescent="0.35">
      <c r="A932" s="6"/>
      <c r="B932" s="12"/>
      <c r="C932" s="12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3.5" x14ac:dyDescent="0.35">
      <c r="A933" s="6"/>
      <c r="B933" s="12"/>
      <c r="C933" s="12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3.5" x14ac:dyDescent="0.35">
      <c r="A934" s="6"/>
      <c r="B934" s="12"/>
      <c r="C934" s="12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3.5" x14ac:dyDescent="0.35">
      <c r="A935" s="6"/>
      <c r="B935" s="12"/>
      <c r="C935" s="12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3.5" x14ac:dyDescent="0.35">
      <c r="A936" s="6"/>
      <c r="B936" s="12"/>
      <c r="C936" s="12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3.5" x14ac:dyDescent="0.35">
      <c r="A937" s="6"/>
      <c r="B937" s="12"/>
      <c r="C937" s="12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3.5" x14ac:dyDescent="0.35">
      <c r="A938" s="6"/>
      <c r="B938" s="12"/>
      <c r="C938" s="12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3.5" x14ac:dyDescent="0.35">
      <c r="A939" s="6"/>
      <c r="B939" s="12"/>
      <c r="C939" s="12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3.5" x14ac:dyDescent="0.35">
      <c r="A940" s="6"/>
      <c r="B940" s="12"/>
      <c r="C940" s="12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3.5" x14ac:dyDescent="0.35">
      <c r="A941" s="6"/>
      <c r="B941" s="12"/>
      <c r="C941" s="12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3.5" x14ac:dyDescent="0.35">
      <c r="A942" s="6"/>
      <c r="B942" s="12"/>
      <c r="C942" s="12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3.5" x14ac:dyDescent="0.35">
      <c r="A943" s="6"/>
      <c r="B943" s="12"/>
      <c r="C943" s="12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3.5" x14ac:dyDescent="0.35">
      <c r="A944" s="6"/>
      <c r="B944" s="12"/>
      <c r="C944" s="12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3.5" x14ac:dyDescent="0.35">
      <c r="A945" s="6"/>
      <c r="B945" s="12"/>
      <c r="C945" s="12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3.5" x14ac:dyDescent="0.35">
      <c r="A946" s="6"/>
      <c r="B946" s="12"/>
      <c r="C946" s="12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3.5" x14ac:dyDescent="0.35">
      <c r="A947" s="6"/>
      <c r="B947" s="12"/>
      <c r="C947" s="12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3.5" x14ac:dyDescent="0.35">
      <c r="A948" s="6"/>
      <c r="B948" s="12"/>
      <c r="C948" s="12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3.5" x14ac:dyDescent="0.35">
      <c r="A949" s="6"/>
      <c r="B949" s="12"/>
      <c r="C949" s="12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3.5" x14ac:dyDescent="0.35">
      <c r="A950" s="6"/>
      <c r="B950" s="12"/>
      <c r="C950" s="12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3.5" x14ac:dyDescent="0.35">
      <c r="A951" s="6"/>
      <c r="B951" s="12"/>
      <c r="C951" s="12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3.5" x14ac:dyDescent="0.35">
      <c r="A952" s="6"/>
      <c r="B952" s="12"/>
      <c r="C952" s="12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3.5" x14ac:dyDescent="0.35">
      <c r="A953" s="6"/>
      <c r="B953" s="12"/>
      <c r="C953" s="12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3.5" x14ac:dyDescent="0.35">
      <c r="A954" s="6"/>
      <c r="B954" s="12"/>
      <c r="C954" s="12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3.5" x14ac:dyDescent="0.35">
      <c r="A955" s="6"/>
      <c r="B955" s="12"/>
      <c r="C955" s="12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3.5" x14ac:dyDescent="0.35">
      <c r="A956" s="6"/>
      <c r="B956" s="12"/>
      <c r="C956" s="12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3.5" x14ac:dyDescent="0.35">
      <c r="A957" s="6"/>
      <c r="B957" s="12"/>
      <c r="C957" s="12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3.5" x14ac:dyDescent="0.35">
      <c r="A958" s="6"/>
      <c r="B958" s="12"/>
      <c r="C958" s="12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3.5" x14ac:dyDescent="0.35">
      <c r="A959" s="6"/>
      <c r="B959" s="12"/>
      <c r="C959" s="12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3.5" x14ac:dyDescent="0.35">
      <c r="A960" s="6"/>
      <c r="B960" s="12"/>
      <c r="C960" s="12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3.5" x14ac:dyDescent="0.35">
      <c r="A961" s="6"/>
      <c r="B961" s="12"/>
      <c r="C961" s="12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3.5" x14ac:dyDescent="0.35">
      <c r="A962" s="6"/>
      <c r="B962" s="12"/>
      <c r="C962" s="12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3.5" x14ac:dyDescent="0.35">
      <c r="A963" s="6"/>
      <c r="B963" s="12"/>
      <c r="C963" s="12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3.5" x14ac:dyDescent="0.35">
      <c r="A964" s="6"/>
      <c r="B964" s="12"/>
      <c r="C964" s="12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3.5" x14ac:dyDescent="0.35">
      <c r="A965" s="6"/>
      <c r="B965" s="12"/>
      <c r="C965" s="12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3.5" x14ac:dyDescent="0.35">
      <c r="A966" s="6"/>
      <c r="B966" s="12"/>
      <c r="C966" s="12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3.5" x14ac:dyDescent="0.35">
      <c r="A967" s="6"/>
      <c r="B967" s="12"/>
      <c r="C967" s="12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3.5" x14ac:dyDescent="0.35">
      <c r="A968" s="6"/>
      <c r="B968" s="12"/>
      <c r="C968" s="12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3.5" x14ac:dyDescent="0.35">
      <c r="A969" s="6"/>
      <c r="B969" s="12"/>
      <c r="C969" s="12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3.5" x14ac:dyDescent="0.35">
      <c r="A970" s="6"/>
      <c r="B970" s="12"/>
      <c r="C970" s="12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3.5" x14ac:dyDescent="0.35">
      <c r="A971" s="6"/>
      <c r="B971" s="12"/>
      <c r="C971" s="12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3.5" x14ac:dyDescent="0.35">
      <c r="A972" s="6"/>
      <c r="B972" s="12"/>
      <c r="C972" s="12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3.5" x14ac:dyDescent="0.35">
      <c r="A973" s="6"/>
      <c r="B973" s="12"/>
      <c r="C973" s="12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3.5" x14ac:dyDescent="0.35">
      <c r="A974" s="6"/>
      <c r="B974" s="12"/>
      <c r="C974" s="12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3.5" x14ac:dyDescent="0.35">
      <c r="A975" s="6"/>
      <c r="B975" s="12"/>
      <c r="C975" s="12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3.5" x14ac:dyDescent="0.35">
      <c r="A976" s="6"/>
      <c r="B976" s="12"/>
      <c r="C976" s="12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3.5" x14ac:dyDescent="0.35">
      <c r="A977" s="6"/>
      <c r="B977" s="12"/>
      <c r="C977" s="12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3.5" x14ac:dyDescent="0.35">
      <c r="A978" s="6"/>
      <c r="B978" s="12"/>
      <c r="C978" s="12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3.5" x14ac:dyDescent="0.35">
      <c r="A979" s="6"/>
      <c r="B979" s="12"/>
      <c r="C979" s="12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3.5" x14ac:dyDescent="0.35">
      <c r="A980" s="6"/>
      <c r="B980" s="12"/>
      <c r="C980" s="12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3.5" x14ac:dyDescent="0.35">
      <c r="A981" s="6"/>
      <c r="B981" s="12"/>
      <c r="C981" s="12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3.5" x14ac:dyDescent="0.35">
      <c r="A982" s="6"/>
      <c r="B982" s="12"/>
      <c r="C982" s="12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3.5" x14ac:dyDescent="0.35">
      <c r="A983" s="6"/>
      <c r="B983" s="12"/>
      <c r="C983" s="12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3.5" x14ac:dyDescent="0.35">
      <c r="A984" s="6"/>
      <c r="B984" s="12"/>
      <c r="C984" s="12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3.5" x14ac:dyDescent="0.35">
      <c r="A985" s="6"/>
      <c r="B985" s="12"/>
      <c r="C985" s="12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3.5" x14ac:dyDescent="0.35">
      <c r="A986" s="6"/>
      <c r="B986" s="12"/>
      <c r="C986" s="12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3.5" x14ac:dyDescent="0.35">
      <c r="A987" s="6"/>
      <c r="B987" s="12"/>
      <c r="C987" s="12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3.5" x14ac:dyDescent="0.35">
      <c r="A988" s="6"/>
      <c r="B988" s="12"/>
      <c r="C988" s="12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3.5" x14ac:dyDescent="0.35">
      <c r="A989" s="6"/>
      <c r="B989" s="12"/>
      <c r="C989" s="12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3.5" x14ac:dyDescent="0.35">
      <c r="A990" s="6"/>
      <c r="B990" s="12"/>
      <c r="C990" s="12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3.5" x14ac:dyDescent="0.35">
      <c r="A991" s="6"/>
      <c r="B991" s="12"/>
      <c r="C991" s="12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3.5" x14ac:dyDescent="0.35">
      <c r="A992" s="6"/>
      <c r="B992" s="12"/>
      <c r="C992" s="12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3.5" x14ac:dyDescent="0.35">
      <c r="A993" s="6"/>
      <c r="B993" s="12"/>
      <c r="C993" s="12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3.5" x14ac:dyDescent="0.35">
      <c r="A994" s="6"/>
      <c r="B994" s="12"/>
      <c r="C994" s="12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3.5" x14ac:dyDescent="0.35">
      <c r="A995" s="6"/>
      <c r="B995" s="12"/>
      <c r="C995" s="12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3.5" x14ac:dyDescent="0.35">
      <c r="A996" s="6"/>
      <c r="B996" s="12"/>
      <c r="C996" s="12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3.5" x14ac:dyDescent="0.35">
      <c r="A997" s="6"/>
      <c r="B997" s="12"/>
      <c r="C997" s="12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3.5" x14ac:dyDescent="0.35">
      <c r="A998" s="6"/>
      <c r="B998" s="12"/>
      <c r="C998" s="12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3.5" x14ac:dyDescent="0.35">
      <c r="A999" s="6"/>
      <c r="B999" s="12"/>
      <c r="C999" s="12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7"/>
  <sheetViews>
    <sheetView zoomScale="90" zoomScaleNormal="90" workbookViewId="0">
      <pane ySplit="1" topLeftCell="A2" activePane="bottomLeft" state="frozen"/>
      <selection pane="bottomLeft" activeCell="C4" sqref="C4"/>
    </sheetView>
  </sheetViews>
  <sheetFormatPr defaultColWidth="12.6328125" defaultRowHeight="15.75" customHeight="1" x14ac:dyDescent="0.25"/>
  <cols>
    <col min="1" max="1" width="10" customWidth="1"/>
    <col min="2" max="2" width="14.08984375" customWidth="1"/>
    <col min="3" max="3" width="49.54296875" customWidth="1"/>
    <col min="4" max="4" width="44.26953125" customWidth="1"/>
  </cols>
  <sheetData>
    <row r="1" spans="1:4" s="20" customFormat="1" ht="15.75" customHeight="1" x14ac:dyDescent="0.25">
      <c r="A1" s="25" t="s">
        <v>10</v>
      </c>
      <c r="B1" s="25" t="s">
        <v>0</v>
      </c>
      <c r="C1" s="25" t="s">
        <v>48</v>
      </c>
      <c r="D1" s="25" t="s">
        <v>15</v>
      </c>
    </row>
    <row r="2" spans="1:4" ht="15.75" customHeight="1" x14ac:dyDescent="0.25">
      <c r="A2" s="5">
        <v>2024</v>
      </c>
      <c r="B2" s="5" t="s">
        <v>49</v>
      </c>
      <c r="C2" s="5"/>
      <c r="D2" s="5"/>
    </row>
    <row r="3" spans="1:4" ht="15.75" customHeight="1" x14ac:dyDescent="0.25">
      <c r="A3" s="5">
        <v>2024</v>
      </c>
      <c r="B3" s="5" t="s">
        <v>9</v>
      </c>
      <c r="C3" s="5"/>
      <c r="D3" s="5"/>
    </row>
    <row r="4" spans="1:4" ht="15.75" customHeight="1" x14ac:dyDescent="0.25">
      <c r="A4" s="5">
        <v>2024</v>
      </c>
      <c r="B4" s="5" t="s">
        <v>50</v>
      </c>
      <c r="C4" s="18" t="s">
        <v>168</v>
      </c>
      <c r="D4" s="8"/>
    </row>
    <row r="5" spans="1:4" ht="15.75" customHeight="1" x14ac:dyDescent="0.25">
      <c r="A5" s="5">
        <v>2024</v>
      </c>
      <c r="B5" s="5" t="s">
        <v>51</v>
      </c>
      <c r="C5" s="5"/>
      <c r="D5" s="8"/>
    </row>
    <row r="6" spans="1:4" ht="15.75" customHeight="1" x14ac:dyDescent="0.25">
      <c r="A6" s="5">
        <v>2024</v>
      </c>
      <c r="B6" s="5" t="s">
        <v>52</v>
      </c>
      <c r="C6" s="5"/>
      <c r="D6" s="8"/>
    </row>
    <row r="7" spans="1:4" ht="15.75" customHeight="1" x14ac:dyDescent="0.25">
      <c r="A7" s="5">
        <v>2024</v>
      </c>
      <c r="B7" s="5" t="s">
        <v>53</v>
      </c>
      <c r="C7" s="5"/>
      <c r="D7" s="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3"/>
  <sheetViews>
    <sheetView zoomScale="80" zoomScaleNormal="80" workbookViewId="0"/>
  </sheetViews>
  <sheetFormatPr defaultColWidth="12.6328125" defaultRowHeight="40" customHeight="1" x14ac:dyDescent="0.25"/>
  <cols>
    <col min="1" max="3" width="21.7265625" style="35" customWidth="1"/>
    <col min="4" max="4" width="31.26953125" style="36" customWidth="1"/>
    <col min="5" max="5" width="21.26953125" style="35" bestFit="1" customWidth="1"/>
  </cols>
  <sheetData>
    <row r="1" spans="1:5" s="20" customFormat="1" ht="15.75" customHeight="1" x14ac:dyDescent="0.25">
      <c r="A1" s="34" t="s">
        <v>149</v>
      </c>
      <c r="B1" s="34" t="s">
        <v>54</v>
      </c>
      <c r="C1" s="34" t="s">
        <v>150</v>
      </c>
      <c r="D1" s="19" t="s">
        <v>151</v>
      </c>
      <c r="E1" s="34" t="s">
        <v>152</v>
      </c>
    </row>
    <row r="2" spans="1:5" ht="40" customHeight="1" x14ac:dyDescent="0.25">
      <c r="A2" s="33" t="s">
        <v>87</v>
      </c>
      <c r="B2" s="33" t="s">
        <v>144</v>
      </c>
      <c r="C2" s="33" t="s">
        <v>145</v>
      </c>
      <c r="D2" s="29" t="s">
        <v>146</v>
      </c>
      <c r="E2" s="33" t="s">
        <v>153</v>
      </c>
    </row>
    <row r="3" spans="1:5" ht="40" customHeight="1" x14ac:dyDescent="0.25">
      <c r="A3" s="33" t="s">
        <v>87</v>
      </c>
      <c r="B3" s="33" t="s">
        <v>56</v>
      </c>
      <c r="C3" s="33" t="s">
        <v>147</v>
      </c>
      <c r="D3" s="29" t="s">
        <v>148</v>
      </c>
      <c r="E3" s="33" t="s">
        <v>154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G2"/>
  <sheetViews>
    <sheetView zoomScale="90" zoomScaleNormal="90" workbookViewId="0">
      <pane ySplit="1" topLeftCell="A2" activePane="bottomLeft" state="frozen"/>
      <selection pane="bottomLeft"/>
    </sheetView>
  </sheetViews>
  <sheetFormatPr defaultColWidth="12.6328125" defaultRowHeight="15.75" customHeight="1" x14ac:dyDescent="0.25"/>
  <cols>
    <col min="1" max="1" width="13.54296875" customWidth="1"/>
    <col min="2" max="2" width="11.36328125" customWidth="1"/>
    <col min="3" max="3" width="41.7265625" customWidth="1"/>
    <col min="5" max="5" width="55.7265625" customWidth="1"/>
    <col min="6" max="6" width="12.7265625" customWidth="1"/>
    <col min="7" max="7" width="42.26953125" customWidth="1"/>
  </cols>
  <sheetData>
    <row r="1" spans="1:7" ht="15.75" customHeight="1" x14ac:dyDescent="0.25">
      <c r="A1" s="19" t="s">
        <v>0</v>
      </c>
      <c r="B1" s="21" t="s">
        <v>10</v>
      </c>
      <c r="C1" s="19" t="s">
        <v>4</v>
      </c>
      <c r="D1" s="19" t="s">
        <v>11</v>
      </c>
      <c r="E1" s="19" t="s">
        <v>13</v>
      </c>
      <c r="F1" s="19" t="s">
        <v>14</v>
      </c>
      <c r="G1" s="19" t="s">
        <v>15</v>
      </c>
    </row>
    <row r="2" spans="1:7" ht="15.75" customHeight="1" x14ac:dyDescent="0.25">
      <c r="A2" s="2" t="s">
        <v>57</v>
      </c>
      <c r="B2" s="9"/>
      <c r="C2" s="1"/>
      <c r="E2" s="1"/>
      <c r="F2" s="1"/>
      <c r="G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2"/>
  <sheetViews>
    <sheetView zoomScale="90" zoomScaleNormal="90" workbookViewId="0">
      <pane ySplit="1" topLeftCell="A2" activePane="bottomLeft" state="frozen"/>
      <selection pane="bottomLeft"/>
    </sheetView>
  </sheetViews>
  <sheetFormatPr defaultColWidth="12.6328125" defaultRowHeight="15.75" customHeight="1" x14ac:dyDescent="0.25"/>
  <cols>
    <col min="1" max="1" width="16.08984375" customWidth="1"/>
    <col min="2" max="2" width="18.36328125" customWidth="1"/>
    <col min="3" max="3" width="18.90625" customWidth="1"/>
    <col min="4" max="4" width="23.6328125" customWidth="1"/>
    <col min="5" max="7" width="15.6328125" customWidth="1"/>
    <col min="8" max="9" width="27.36328125" customWidth="1"/>
    <col min="10" max="10" width="23.36328125" customWidth="1"/>
    <col min="11" max="11" width="29.26953125" customWidth="1"/>
  </cols>
  <sheetData>
    <row r="1" spans="1:11" ht="15.75" customHeight="1" x14ac:dyDescent="0.25">
      <c r="A1" s="25" t="s">
        <v>0</v>
      </c>
      <c r="B1" s="25" t="s">
        <v>58</v>
      </c>
      <c r="C1" s="25" t="s">
        <v>55</v>
      </c>
      <c r="D1" s="25" t="s">
        <v>59</v>
      </c>
      <c r="E1" s="25" t="s">
        <v>60</v>
      </c>
      <c r="F1" s="26" t="s">
        <v>61</v>
      </c>
      <c r="G1" s="25" t="s">
        <v>62</v>
      </c>
      <c r="H1" s="25" t="s">
        <v>63</v>
      </c>
      <c r="I1" s="25" t="s">
        <v>4</v>
      </c>
      <c r="J1" s="25" t="s">
        <v>64</v>
      </c>
      <c r="K1" s="25" t="s">
        <v>65</v>
      </c>
    </row>
    <row r="2" spans="1:11" ht="15.75" customHeight="1" x14ac:dyDescent="0.25">
      <c r="A2" s="5" t="s">
        <v>66</v>
      </c>
      <c r="B2" s="5">
        <v>0</v>
      </c>
      <c r="C2" s="5"/>
      <c r="D2" s="5"/>
      <c r="E2" s="5"/>
      <c r="F2" s="7"/>
      <c r="G2" s="5"/>
      <c r="H2" s="5"/>
      <c r="I2" s="5"/>
      <c r="J2" s="5"/>
      <c r="K2" s="5"/>
    </row>
    <row r="3" spans="1:11" ht="15.75" customHeight="1" x14ac:dyDescent="0.25">
      <c r="A3" s="5" t="s">
        <v>67</v>
      </c>
      <c r="B3" s="5">
        <v>1</v>
      </c>
      <c r="C3" s="5"/>
      <c r="D3" s="5"/>
      <c r="E3" s="5"/>
      <c r="F3" s="7"/>
      <c r="G3" s="5"/>
      <c r="H3" s="5"/>
      <c r="I3" s="5"/>
      <c r="J3" s="5"/>
      <c r="K3" s="5"/>
    </row>
    <row r="4" spans="1:11" ht="15.75" customHeight="1" x14ac:dyDescent="0.25">
      <c r="A4" s="5" t="s">
        <v>69</v>
      </c>
      <c r="B4" s="5">
        <v>1</v>
      </c>
      <c r="C4" s="5"/>
      <c r="D4" s="5"/>
      <c r="E4" s="5"/>
      <c r="F4" s="7"/>
      <c r="G4" s="5"/>
      <c r="H4" s="5"/>
      <c r="I4" s="5"/>
      <c r="J4" s="5"/>
      <c r="K4" s="5"/>
    </row>
    <row r="5" spans="1:11" ht="15.5" customHeight="1" x14ac:dyDescent="0.25">
      <c r="A5" s="5" t="s">
        <v>69</v>
      </c>
      <c r="B5" s="5">
        <v>1</v>
      </c>
      <c r="C5" s="5"/>
      <c r="D5" s="5"/>
      <c r="E5" s="5"/>
      <c r="F5" s="7"/>
      <c r="G5" s="5"/>
      <c r="H5" s="5"/>
      <c r="I5" s="5"/>
      <c r="J5" s="5"/>
      <c r="K5" s="5"/>
    </row>
    <row r="6" spans="1:11" ht="15.75" customHeight="1" x14ac:dyDescent="0.25">
      <c r="A6" s="5" t="s">
        <v>71</v>
      </c>
      <c r="B6" s="5">
        <v>1</v>
      </c>
      <c r="C6" s="5"/>
      <c r="D6" s="5"/>
      <c r="E6" s="5"/>
      <c r="F6" s="7"/>
      <c r="G6" s="5"/>
      <c r="H6" s="5"/>
      <c r="I6" s="5"/>
      <c r="J6" s="5"/>
      <c r="K6" s="5"/>
    </row>
    <row r="7" spans="1:11" ht="15.75" customHeight="1" x14ac:dyDescent="0.25">
      <c r="A7" s="5" t="s">
        <v>73</v>
      </c>
      <c r="B7" s="5">
        <v>0</v>
      </c>
      <c r="C7" s="5"/>
      <c r="D7" s="5"/>
      <c r="E7" s="5"/>
      <c r="F7" s="7"/>
      <c r="G7" s="5"/>
      <c r="H7" s="5"/>
      <c r="I7" s="5"/>
      <c r="J7" s="5"/>
      <c r="K7" s="5"/>
    </row>
    <row r="8" spans="1:11" ht="15.75" customHeight="1" x14ac:dyDescent="0.25">
      <c r="A8" s="5"/>
      <c r="B8" s="5"/>
      <c r="C8" s="5"/>
      <c r="D8" s="5"/>
      <c r="E8" s="5"/>
      <c r="F8" s="7"/>
      <c r="G8" s="5"/>
      <c r="H8" s="5"/>
      <c r="I8" s="5"/>
      <c r="J8" s="5"/>
      <c r="K8" s="5"/>
    </row>
    <row r="9" spans="1:11" ht="15.75" customHeight="1" x14ac:dyDescent="0.25">
      <c r="A9" s="5"/>
      <c r="B9" s="5"/>
      <c r="C9" s="5"/>
      <c r="D9" s="5"/>
      <c r="E9" s="5"/>
      <c r="F9" s="7"/>
      <c r="G9" s="11"/>
      <c r="H9" s="5"/>
      <c r="I9" s="5"/>
      <c r="J9" s="5"/>
    </row>
    <row r="10" spans="1:11" ht="15.75" customHeight="1" x14ac:dyDescent="0.25">
      <c r="A10" s="5"/>
      <c r="B10" s="5"/>
      <c r="C10" s="5"/>
      <c r="D10" s="5"/>
      <c r="E10" s="5"/>
      <c r="F10" s="7"/>
      <c r="G10" s="11"/>
      <c r="H10" s="5"/>
      <c r="I10" s="5"/>
      <c r="J10" s="5"/>
    </row>
    <row r="11" spans="1:11" ht="15.75" customHeight="1" x14ac:dyDescent="0.25">
      <c r="A11" s="5"/>
      <c r="B11" s="5"/>
      <c r="C11" s="5"/>
      <c r="D11" s="5"/>
      <c r="E11" s="5"/>
      <c r="F11" s="7"/>
      <c r="G11" s="11"/>
      <c r="H11" s="5"/>
      <c r="I11" s="5"/>
      <c r="J11" s="5"/>
    </row>
    <row r="12" spans="1:11" ht="15.75" customHeight="1" x14ac:dyDescent="0.25">
      <c r="A12" s="5"/>
      <c r="B12" s="5"/>
      <c r="C12" s="5"/>
      <c r="D12" s="5"/>
      <c r="E12" s="5"/>
      <c r="F12" s="7"/>
      <c r="G12" s="11"/>
      <c r="H12" s="5"/>
      <c r="I12" s="5"/>
      <c r="J12" s="5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C4"/>
  <sheetViews>
    <sheetView zoomScale="90" zoomScaleNormal="90" workbookViewId="0"/>
  </sheetViews>
  <sheetFormatPr defaultColWidth="12.6328125" defaultRowHeight="15.75" customHeight="1" x14ac:dyDescent="0.25"/>
  <cols>
    <col min="1" max="1" width="16.453125" customWidth="1"/>
    <col min="2" max="2" width="15.453125" customWidth="1"/>
    <col min="3" max="3" width="70.6328125" customWidth="1"/>
  </cols>
  <sheetData>
    <row r="1" spans="1:3" s="20" customFormat="1" ht="15.75" customHeight="1" x14ac:dyDescent="0.35">
      <c r="A1" s="22" t="s">
        <v>0</v>
      </c>
      <c r="B1" s="27" t="s">
        <v>74</v>
      </c>
      <c r="C1" s="22" t="s">
        <v>75</v>
      </c>
    </row>
    <row r="2" spans="1:3" ht="15.5" customHeight="1" x14ac:dyDescent="0.35">
      <c r="A2" s="6" t="s">
        <v>76</v>
      </c>
      <c r="B2" s="16" t="s">
        <v>77</v>
      </c>
      <c r="C2" s="6"/>
    </row>
    <row r="3" spans="1:3" ht="15.75" customHeight="1" x14ac:dyDescent="0.35">
      <c r="A3" s="6" t="s">
        <v>78</v>
      </c>
      <c r="B3" s="16" t="s">
        <v>79</v>
      </c>
      <c r="C3" s="6"/>
    </row>
    <row r="4" spans="1:3" ht="15.75" customHeight="1" x14ac:dyDescent="0.35">
      <c r="A4" s="6" t="s">
        <v>80</v>
      </c>
      <c r="B4" s="16" t="s">
        <v>77</v>
      </c>
      <c r="C4" s="6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5"/>
  <sheetViews>
    <sheetView zoomScale="90" zoomScaleNormal="90" workbookViewId="0"/>
  </sheetViews>
  <sheetFormatPr defaultColWidth="12.6328125" defaultRowHeight="15.75" customHeight="1" x14ac:dyDescent="0.25"/>
  <cols>
    <col min="1" max="1" width="17.08984375" customWidth="1"/>
    <col min="2" max="2" width="7.453125" customWidth="1"/>
    <col min="3" max="3" width="74.26953125" bestFit="1" customWidth="1"/>
  </cols>
  <sheetData>
    <row r="1" spans="1:3" s="20" customFormat="1" ht="15.75" customHeight="1" x14ac:dyDescent="0.35">
      <c r="A1" s="22" t="s">
        <v>0</v>
      </c>
      <c r="B1" s="27" t="s">
        <v>10</v>
      </c>
      <c r="C1" s="22" t="s">
        <v>82</v>
      </c>
    </row>
    <row r="2" spans="1:3" ht="15.75" customHeight="1" x14ac:dyDescent="0.35">
      <c r="A2" s="6" t="s">
        <v>8</v>
      </c>
      <c r="B2" s="16" t="s">
        <v>81</v>
      </c>
      <c r="C2" s="6"/>
    </row>
    <row r="3" spans="1:3" ht="15.75" customHeight="1" x14ac:dyDescent="0.35">
      <c r="A3" s="6" t="s">
        <v>83</v>
      </c>
      <c r="B3" s="16" t="s">
        <v>72</v>
      </c>
      <c r="C3" s="6"/>
    </row>
    <row r="4" spans="1:3" ht="15.75" customHeight="1" x14ac:dyDescent="0.35">
      <c r="A4" s="6" t="s">
        <v>9</v>
      </c>
      <c r="B4" s="16" t="s">
        <v>68</v>
      </c>
      <c r="C4" s="6"/>
    </row>
    <row r="5" spans="1:3" ht="15.75" customHeight="1" x14ac:dyDescent="0.35">
      <c r="A5" s="6" t="s">
        <v>5</v>
      </c>
      <c r="B5" s="16" t="s">
        <v>70</v>
      </c>
      <c r="C5" s="6"/>
    </row>
  </sheetData>
  <phoneticPr fontId="9" type="noConversion"/>
  <pageMargins left="0.7" right="0.7" top="0.75" bottom="0.75" header="0.3" footer="0.3"/>
  <ignoredErrors>
    <ignoredError sqref="B2:B5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pubs</vt:lpstr>
      <vt:lpstr>presentations</vt:lpstr>
      <vt:lpstr>media</vt:lpstr>
      <vt:lpstr>grants</vt:lpstr>
      <vt:lpstr>grant_totals</vt:lpstr>
      <vt:lpstr>awards</vt:lpstr>
      <vt:lpstr>classes</vt:lpstr>
      <vt:lpstr>teaching</vt:lpstr>
      <vt:lpstr>advising</vt:lpstr>
      <vt:lpstr>service</vt:lpstr>
      <vt:lpstr>reviews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Reiley Bergin</dc:creator>
  <cp:lastModifiedBy>Bergin, Reiley T.</cp:lastModifiedBy>
  <dcterms:created xsi:type="dcterms:W3CDTF">2024-09-19T14:48:27Z</dcterms:created>
  <dcterms:modified xsi:type="dcterms:W3CDTF">2025-03-14T18:26:32Z</dcterms:modified>
</cp:coreProperties>
</file>